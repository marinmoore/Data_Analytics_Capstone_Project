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in\Downloads\DATA 400\Final Project\"/>
    </mc:Choice>
  </mc:AlternateContent>
  <xr:revisionPtr revIDLastSave="0" documentId="13_ncr:1_{4913E8F6-F388-4DDF-89E0-48B66D414821}" xr6:coauthVersionLast="47" xr6:coauthVersionMax="47" xr10:uidLastSave="{00000000-0000-0000-0000-000000000000}"/>
  <bookViews>
    <workbookView xWindow="-110" yWindow="-110" windowWidth="19420" windowHeight="11500" activeTab="3" xr2:uid="{EC0832BD-4667-834C-B1F5-C3E0FF76F3CC}"/>
  </bookViews>
  <sheets>
    <sheet name="All Crimes" sheetId="4" r:id="rId1"/>
    <sheet name="Antisemitic" sheetId="1" r:id="rId2"/>
    <sheet name="Anti-LGBTQ+" sheetId="2" r:id="rId3"/>
    <sheet name="Source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" i="1" l="1"/>
  <c r="D52" i="1"/>
  <c r="F51" i="1"/>
  <c r="D51" i="1"/>
  <c r="F50" i="1"/>
  <c r="D50" i="1"/>
  <c r="F49" i="1"/>
  <c r="D49" i="1"/>
  <c r="F48" i="1"/>
  <c r="D48" i="1"/>
  <c r="F47" i="1"/>
  <c r="D47" i="1"/>
  <c r="F46" i="1"/>
  <c r="D46" i="1"/>
  <c r="F45" i="1"/>
  <c r="D45" i="1"/>
  <c r="F44" i="1"/>
  <c r="D44" i="1"/>
  <c r="F43" i="1"/>
  <c r="D43" i="1"/>
  <c r="F42" i="1"/>
  <c r="D42" i="1"/>
  <c r="F41" i="1"/>
  <c r="D41" i="1"/>
  <c r="F40" i="1"/>
  <c r="D40" i="1"/>
  <c r="F39" i="1"/>
  <c r="D39" i="1"/>
  <c r="F38" i="1"/>
  <c r="D38" i="1"/>
  <c r="F37" i="1"/>
  <c r="D37" i="1"/>
  <c r="F36" i="1"/>
  <c r="D36" i="1"/>
  <c r="F35" i="1"/>
  <c r="D35" i="1"/>
  <c r="F34" i="1"/>
  <c r="D34" i="1"/>
  <c r="F33" i="1"/>
  <c r="D33" i="1"/>
  <c r="F32" i="1"/>
  <c r="D32" i="1"/>
  <c r="F31" i="1"/>
  <c r="D31" i="1"/>
  <c r="F30" i="1"/>
  <c r="D30" i="1"/>
  <c r="F29" i="1"/>
  <c r="D29" i="1"/>
  <c r="F28" i="1"/>
  <c r="D28" i="1"/>
  <c r="F27" i="1"/>
  <c r="D27" i="1"/>
  <c r="F26" i="1"/>
  <c r="D26" i="1"/>
  <c r="F25" i="1"/>
  <c r="D25" i="1"/>
  <c r="F24" i="1"/>
  <c r="D24" i="1"/>
  <c r="F23" i="1"/>
  <c r="D23" i="1"/>
  <c r="F22" i="1"/>
  <c r="D22" i="1"/>
  <c r="F21" i="1"/>
  <c r="D21" i="1"/>
  <c r="F20" i="1"/>
  <c r="D20" i="1"/>
  <c r="F19" i="1"/>
  <c r="D19" i="1"/>
  <c r="F18" i="1"/>
  <c r="D18" i="1"/>
  <c r="F17" i="1"/>
  <c r="D17" i="1"/>
  <c r="F16" i="1"/>
  <c r="D16" i="1"/>
  <c r="F15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  <c r="F4" i="1"/>
  <c r="D4" i="1"/>
  <c r="D3" i="1"/>
  <c r="F2" i="1"/>
  <c r="D2" i="1"/>
</calcChain>
</file>

<file path=xl/sharedStrings.xml><?xml version="1.0" encoding="utf-8"?>
<sst xmlns="http://schemas.openxmlformats.org/spreadsheetml/2006/main" count="248" uniqueCount="108">
  <si>
    <t>State</t>
  </si>
  <si>
    <t>Incident Count 2024</t>
  </si>
  <si>
    <t>State Pop</t>
  </si>
  <si>
    <t>Incidents per 100,000</t>
  </si>
  <si>
    <t>Population Density</t>
  </si>
  <si>
    <t>Median Household Income</t>
  </si>
  <si>
    <t>% in Poverty 2024</t>
  </si>
  <si>
    <t>PVI</t>
  </si>
  <si>
    <t>Diversity Index</t>
  </si>
  <si>
    <t>Hate Crime Law Bias Coverage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</si>
  <si>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</si>
  <si>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</si>
  <si>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</si>
  <si>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</si>
  <si>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</si>
  <si>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</si>
  <si>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</si>
  <si>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</si>
  <si>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</si>
  <si>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</si>
  <si>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</si>
  <si>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</si>
  <si>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</si>
  <si>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</si>
  <si>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</si>
  <si>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</si>
  <si>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</si>
  <si>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</si>
  <si>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</si>
  <si>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</si>
  <si>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</si>
  <si>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</si>
  <si>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</si>
  <si>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</si>
  <si>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</si>
  <si>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</si>
  <si>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</si>
  <si>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</si>
  <si>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</si>
  <si>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</si>
  <si>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</si>
  <si>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</si>
  <si>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</si>
  <si>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</si>
  <si>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</si>
  <si>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</si>
  <si>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</si>
  <si>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</si>
  <si>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</si>
  <si>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</si>
  <si>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</si>
  <si>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</si>
  <si>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</si>
  <si>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</si>
  <si>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</si>
  <si>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</si>
  <si>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</si>
  <si>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</si>
  <si>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</si>
  <si>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</si>
  <si>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</si>
  <si>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Jewish Pop</t>
  </si>
  <si>
    <t>Incidents per 1000 Jews</t>
  </si>
  <si>
    <t>SEI</t>
  </si>
  <si>
    <t>Anti-LGBTQ Legislation 2024</t>
  </si>
  <si>
    <t>LGBTQ+ Hate Crime Coverage</t>
  </si>
  <si>
    <t>Variable</t>
  </si>
  <si>
    <t>Variable Name in This File</t>
  </si>
  <si>
    <t>Source</t>
  </si>
  <si>
    <t>Source Notes</t>
  </si>
  <si>
    <t>Source Link</t>
  </si>
  <si>
    <t>Hate Crime Incident Count 2024</t>
  </si>
  <si>
    <t>Federal Bureau of Investigation</t>
  </si>
  <si>
    <t>Filtered for the number of antisemitic and anti-LGBTQ+ hate crime incidents per state in 2024</t>
  </si>
  <si>
    <t>https://www.fbi.gov/how-we-can-help-you/more-fbi-services-and-information/ucr/hate-crime</t>
  </si>
  <si>
    <t>State Population 2024</t>
  </si>
  <si>
    <t>U.S. Census Bureau</t>
  </si>
  <si>
    <t>https://www2.census.gov/programs-surveys/popest/tables/2020-2025/state/totals/NST-EST2025-POP.xlsx</t>
  </si>
  <si>
    <t>Jewish Population 2024</t>
  </si>
  <si>
    <t>Jewish Virtual Library</t>
  </si>
  <si>
    <t>Percentage of state population that is Jewish</t>
  </si>
  <si>
    <t>https://jewishvirtuallibrary.org/jewish-population-in-the-united-states-by-state</t>
  </si>
  <si>
    <t>State Population Density 2020</t>
  </si>
  <si>
    <t>https://www2.census.gov/programs-surveys/decennial/2020/data/apportionment/population-density-data-table.pdf</t>
  </si>
  <si>
    <t>Median Household Income 2024</t>
  </si>
  <si>
    <t>https://data.census.gov/table/ACSST1Y2024.S1903?t=Income+and+Poverty&amp;g=010XX00US$0400000&amp;y=2024</t>
  </si>
  <si>
    <t>Percentage of People in Poverty in 2024</t>
  </si>
  <si>
    <t>https://www2.census.gov/library/publications/2025/demo/acsbr-026.pdf</t>
  </si>
  <si>
    <t>Political Voting Index</t>
  </si>
  <si>
    <t>World Population Review</t>
  </si>
  <si>
    <t>How strongly a state leaned toward the Republican or Democratic Party based on its voting patterns in the 2016 and 2020 presidential elections. Positive = Republican; negative = Democratic</t>
  </si>
  <si>
    <t>https://worldpopulationreview.com/state-rankings/most-republican-states</t>
  </si>
  <si>
    <t>Probability that two people chosen at random will be from different race and ethnicity groups</t>
  </si>
  <si>
    <t>https://www.census.gov/library/visualizations/interactive/racial-and-ethnic-diversity-in-the-united-states-2010-and-2020-census.html</t>
  </si>
  <si>
    <t>U.S. Department of Justice</t>
  </si>
  <si>
    <t>The number of bias types covered by the state's hate crime laws</t>
  </si>
  <si>
    <t>https://www.justice.gov/hatecrimes/laws-and-policies</t>
  </si>
  <si>
    <t>2024 State Equality Index</t>
  </si>
  <si>
    <t>Human Rights Campaign</t>
  </si>
  <si>
    <t>1 = “High Priority to Achieve Basic Equality”; 2 = “Building Equality”; 3 = “Solidifying Equality”; 4 = “Working Toward Innovative Equality”</t>
  </si>
  <si>
    <t>https://reports.hrc.org/2024-state-equality-index</t>
  </si>
  <si>
    <t>Anti-LGBTQ+ Legislation Introduced in 2024</t>
  </si>
  <si>
    <t>American Civil Liberties Union</t>
  </si>
  <si>
    <t>https://www.aclu.org/legislative-attacks-on-lgbtq-rights-2024</t>
  </si>
  <si>
    <t>LGBTQ+ Hate Crime Law Coverage</t>
  </si>
  <si>
    <t>Movement Advancement Project</t>
  </si>
  <si>
    <t>1 = State does not require hate crime data collection; 2 = State requires hate crime data collection, but does not mention crimes based on sexual orientation or gender identity; 3 = State requires hate crime data collection, including for crimes based on sexual orientation; 4 = State requires hate crime data collection, including for crimes based on sexual orientation and gender identity</t>
  </si>
  <si>
    <t>https://mapresearch.org/equality-map/hate-crime-laws/#data-collection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</si>
</sst>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indexed="8"/>
      <name val="Helvetica Neue"/>
      <family val="2"/>
    </font>
    <font>
      <sz val="13"/>
      <color indexed="8"/>
      <name val="Aptos Narrow"/>
      <family val="2"/>
      <scheme val="minor"/>
    </font>
    <font>
      <sz val="13"/>
      <color indexed="8"/>
      <name val="Helvetica Neue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b/>
      <sz val="11"/>
      <color indexed="8"/>
      <name val="Aptos Narrow"/>
      <scheme val="minor"/>
    </font>
    <font>
      <b/>
      <sz val="11"/>
      <color rgb="FF000000"/>
      <name val="Aptos Narrow"/>
      <scheme val="minor"/>
    </font>
    <font>
      <sz val="11"/>
      <color indexed="8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1" applyNumberFormat="1" applyFont="1" applyAlignment="1">
      <alignment vertical="top" wrapText="1"/>
    </xf>
    <xf numFmtId="0" fontId="3" fillId="0" borderId="0" xfId="1" applyNumberFormat="1" applyFont="1" applyAlignment="1">
      <alignment vertical="top" wrapText="1"/>
    </xf>
    <xf numFmtId="0" fontId="4" fillId="0" borderId="0" xfId="1" applyNumberFormat="1" applyFont="1" applyAlignment="1">
      <alignment vertical="top" wrapText="1"/>
    </xf>
    <xf numFmtId="0" fontId="0" fillId="0" borderId="0" xfId="1" applyNumberFormat="1" applyFont="1" applyAlignment="1">
      <alignment vertical="top" wrapText="1"/>
    </xf>
    <xf numFmtId="4" fontId="0" fillId="0" borderId="0" xfId="1" applyNumberFormat="1" applyFont="1" applyAlignment="1">
      <alignment vertical="top" wrapText="1"/>
    </xf>
    <xf numFmtId="0" fontId="6" fillId="0" borderId="0" xfId="0" applyFont="1"/>
    <xf numFmtId="0" fontId="11" fillId="0" borderId="0" xfId="1" applyNumberFormat="1" applyFont="1" applyFill="1" applyBorder="1" applyAlignment="1">
      <alignment vertical="top" wrapText="1"/>
    </xf>
    <xf numFmtId="0" fontId="7" fillId="0" borderId="0" xfId="1" applyNumberFormat="1" applyFont="1" applyBorder="1" applyAlignment="1">
      <alignment vertical="top" wrapText="1"/>
    </xf>
    <xf numFmtId="0" fontId="8" fillId="0" borderId="0" xfId="1" applyNumberFormat="1" applyFont="1" applyBorder="1" applyAlignment="1">
      <alignment vertical="top" wrapText="1"/>
    </xf>
    <xf numFmtId="0" fontId="9" fillId="0" borderId="0" xfId="1" applyNumberFormat="1" applyFont="1" applyBorder="1" applyAlignment="1">
      <alignment vertical="top" wrapText="1"/>
    </xf>
    <xf numFmtId="0" fontId="10" fillId="0" borderId="0" xfId="1" applyNumberFormat="1" applyFont="1" applyBorder="1" applyAlignment="1" applyProtection="1">
      <alignment horizontal="right"/>
      <protection locked="0"/>
    </xf>
    <xf numFmtId="0" fontId="11" fillId="0" borderId="0" xfId="1" applyNumberFormat="1" applyFont="1" applyBorder="1" applyAlignment="1">
      <alignment vertical="top" wrapText="1"/>
    </xf>
    <xf numFmtId="0" fontId="10" fillId="0" borderId="0" xfId="1" applyNumberFormat="1" applyFont="1" applyBorder="1" applyAlignment="1">
      <alignment vertical="top" wrapText="1"/>
    </xf>
    <xf numFmtId="4" fontId="10" fillId="0" borderId="0" xfId="1" applyNumberFormat="1" applyFont="1" applyBorder="1" applyAlignment="1">
      <alignment vertical="top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2" applyFont="1"/>
    <xf numFmtId="0" fontId="14" fillId="0" borderId="0" xfId="0" applyFont="1" applyAlignment="1">
      <alignment wrapText="1"/>
    </xf>
    <xf numFmtId="0" fontId="16" fillId="0" borderId="0" xfId="1" applyNumberFormat="1" applyFont="1" applyAlignment="1">
      <alignment vertical="top" wrapText="1"/>
    </xf>
    <xf numFmtId="0" fontId="17" fillId="0" borderId="0" xfId="1" applyNumberFormat="1" applyFont="1" applyAlignment="1">
      <alignment vertical="top" wrapText="1"/>
    </xf>
    <xf numFmtId="0" fontId="18" fillId="0" borderId="0" xfId="1" applyNumberFormat="1" applyFont="1" applyAlignment="1">
      <alignment vertical="top" wrapText="1"/>
    </xf>
    <xf numFmtId="0" fontId="19" fillId="0" borderId="0" xfId="1" applyNumberFormat="1" applyFont="1" applyAlignment="1">
      <alignment vertical="top" wrapText="1"/>
    </xf>
    <xf numFmtId="0" fontId="13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4" fillId="0" borderId="0" xfId="1" applyNumberFormat="1" applyFont="1" applyAlignment="1">
      <alignment vertical="top" wrapText="1"/>
    </xf>
    <xf numFmtId="4" fontId="14" fillId="0" borderId="0" xfId="1" applyNumberFormat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  <xf numFmtId="0" fontId="19" fillId="0" borderId="0" xfId="0" applyFont="1" applyAlignment="1">
      <alignment wrapText="1"/>
    </xf>
    <xf numFmtId="0" fontId="15" fillId="0" borderId="0" xfId="2" applyFont="1" applyFill="1"/>
    <xf numFmtId="0" fontId="5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mapresearch.org/equality-map/hate-crime-laws/" TargetMode="External"/><Relationship Id="rId3" Type="http://schemas.openxmlformats.org/officeDocument/2006/relationships/hyperlink" Target="https://www2.census.gov/library/publications/2025/demo/acsbr-026.pdf" TargetMode="External"/><Relationship Id="rId7" Type="http://schemas.openxmlformats.org/officeDocument/2006/relationships/hyperlink" Target="https://reports.hrc.org/2024-state-equality-index" TargetMode="External"/><Relationship Id="rId12" Type="http://schemas.openxmlformats.org/officeDocument/2006/relationships/hyperlink" Target="https://www.justice.gov/hatecrimes/laws-and-policies" TargetMode="External"/><Relationship Id="rId2" Type="http://schemas.openxmlformats.org/officeDocument/2006/relationships/hyperlink" Target="https://data.census.gov/table/ACSST1Y2024.S1903?t=Income+and+Poverty&amp;g=010XX00US$0400000&amp;y=2024" TargetMode="External"/><Relationship Id="rId1" Type="http://schemas.openxmlformats.org/officeDocument/2006/relationships/hyperlink" Target="https://www2.census.gov/programs-surveys/decennial/2020/data/apportionment/population-density-data-table.pdf" TargetMode="External"/><Relationship Id="rId6" Type="http://schemas.openxmlformats.org/officeDocument/2006/relationships/hyperlink" Target="https://worldpopulationreview.com/state-rankings/most-republican-states" TargetMode="External"/><Relationship Id="rId11" Type="http://schemas.openxmlformats.org/officeDocument/2006/relationships/hyperlink" Target="https://www.fbi.gov/how-we-can-help-you/more-fbi-services-and-information/ucr/hate-crime" TargetMode="External"/><Relationship Id="rId5" Type="http://schemas.openxmlformats.org/officeDocument/2006/relationships/hyperlink" Target="https://www.census.gov/library/visualizations/interactive/racial-and-ethnic-diversity-in-the-united-states-2010-and-2020-census.html" TargetMode="External"/><Relationship Id="rId10" Type="http://schemas.openxmlformats.org/officeDocument/2006/relationships/hyperlink" Target="https://www2.census.gov/programs-surveys/popest/tables/2020-2025/state/totals/NST-EST2025-POP.xlsx" TargetMode="External"/><Relationship Id="rId4" Type="http://schemas.openxmlformats.org/officeDocument/2006/relationships/hyperlink" Target="https://jewishvirtuallibrary.org/jewish-population-in-the-united-states-by-state" TargetMode="External"/><Relationship Id="rId9" Type="http://schemas.openxmlformats.org/officeDocument/2006/relationships/hyperlink" Target="https://www.aclu.org/legislative-attacks-on-lgbtq-rights-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E393F-9184-4651-BD69-543A8E492EC0}">
  <dimension ref="A1:J52"/>
  <sheetViews>
    <sheetView workbookViewId="0">
      <selection activeCell="E1" sqref="E1:J1"/>
    </sheetView>
  </sheetViews>
  <sheetFormatPr defaultRowHeight="16"/>
  <sheetData>
    <row r="1" spans="1:10" ht="58.5">
      <c r="A1" s="27" t="s">
        <v>0</v>
      </c>
      <c r="B1" s="27" t="s">
        <v>1</v>
      </c>
      <c r="C1" s="27" t="s">
        <v>2</v>
      </c>
      <c r="D1" s="27" t="s">
        <v>3</v>
      </c>
      <c r="E1" s="23" t="s">
        <v>4</v>
      </c>
      <c r="F1" s="27" t="s">
        <v>5</v>
      </c>
      <c r="G1" s="22" t="s">
        <v>6</v>
      </c>
      <c r="H1" s="27" t="s">
        <v>7</v>
      </c>
      <c r="I1" s="27" t="s">
        <v>8</v>
      </c>
      <c r="J1" s="26" t="s">
        <v>9</v>
      </c>
    </row>
    <row r="2" spans="1:10">
      <c r="A2" s="15" t="s">
        <v>10</v>
      </c>
      <c r="B2" s="15">
        <v>174</v>
      </c>
      <c r="C2" s="15">
        <v>5157699</v>
      </c>
      <c r="D2" s="15">
        <v>3.3735974123344539</v>
      </c>
      <c r="E2" s="25">
        <v>99.2</v>
      </c>
      <c r="F2" s="15">
        <v>66659</v>
      </c>
      <c r="G2" s="31">
        <v>15.2</v>
      </c>
      <c r="H2" s="15">
        <v>15</v>
      </c>
      <c r="I2" s="15">
        <v>53.1</v>
      </c>
      <c r="J2" s="24">
        <v>4</v>
      </c>
    </row>
    <row r="3" spans="1:10">
      <c r="A3" s="15" t="s">
        <v>11</v>
      </c>
      <c r="B3" s="15">
        <v>32</v>
      </c>
      <c r="C3" s="15">
        <v>740133</v>
      </c>
      <c r="D3" s="15">
        <v>4.3235472543448275</v>
      </c>
      <c r="E3" s="28">
        <v>1.3</v>
      </c>
      <c r="F3" s="15">
        <v>95665</v>
      </c>
      <c r="G3" s="28">
        <v>10.199999999999999</v>
      </c>
      <c r="H3" s="15">
        <v>8</v>
      </c>
      <c r="I3" s="15">
        <v>62.8</v>
      </c>
      <c r="J3" s="28">
        <v>5</v>
      </c>
    </row>
    <row r="4" spans="1:10">
      <c r="A4" s="15" t="s">
        <v>12</v>
      </c>
      <c r="B4" s="15">
        <v>216</v>
      </c>
      <c r="C4" s="15">
        <v>7582384</v>
      </c>
      <c r="D4" s="15">
        <v>2.8487082690615511</v>
      </c>
      <c r="E4" s="28">
        <v>62.9</v>
      </c>
      <c r="F4" s="15">
        <v>81486</v>
      </c>
      <c r="G4" s="28">
        <v>11.7</v>
      </c>
      <c r="H4" s="15">
        <v>2</v>
      </c>
      <c r="I4" s="15">
        <v>61.5</v>
      </c>
      <c r="J4" s="28">
        <v>6</v>
      </c>
    </row>
    <row r="5" spans="1:10">
      <c r="A5" s="15" t="s">
        <v>13</v>
      </c>
      <c r="B5" s="15">
        <v>13</v>
      </c>
      <c r="C5" s="15">
        <v>3088354</v>
      </c>
      <c r="D5" s="15">
        <v>0.42093620096659901</v>
      </c>
      <c r="E5" s="28">
        <v>57.9</v>
      </c>
      <c r="F5" s="15">
        <v>62106</v>
      </c>
      <c r="G5" s="28">
        <v>15.5</v>
      </c>
      <c r="H5" s="15">
        <v>16</v>
      </c>
      <c r="I5" s="15">
        <v>49.8</v>
      </c>
      <c r="J5" s="28">
        <v>1</v>
      </c>
    </row>
    <row r="6" spans="1:10">
      <c r="A6" s="15" t="s">
        <v>14</v>
      </c>
      <c r="B6" s="15">
        <v>1999</v>
      </c>
      <c r="C6" s="15">
        <v>39431263</v>
      </c>
      <c r="D6" s="15">
        <v>5.0695814638247834</v>
      </c>
      <c r="E6" s="28">
        <v>253.7</v>
      </c>
      <c r="F6" s="15">
        <v>100149</v>
      </c>
      <c r="G6" s="28">
        <v>11.8</v>
      </c>
      <c r="H6" s="15">
        <v>-13</v>
      </c>
      <c r="I6" s="15">
        <v>69.7</v>
      </c>
      <c r="J6" s="28">
        <v>6</v>
      </c>
    </row>
    <row r="7" spans="1:10">
      <c r="A7" s="15" t="s">
        <v>15</v>
      </c>
      <c r="B7" s="15">
        <v>262</v>
      </c>
      <c r="C7" s="15">
        <v>5957493</v>
      </c>
      <c r="D7" s="15">
        <v>4.3978230440220409</v>
      </c>
      <c r="E7" s="28">
        <v>55.7</v>
      </c>
      <c r="F7" s="15">
        <v>97113</v>
      </c>
      <c r="G7" s="28">
        <v>9.6</v>
      </c>
      <c r="H7" s="15">
        <v>-4</v>
      </c>
      <c r="I7" s="15">
        <v>52.3</v>
      </c>
      <c r="J7" s="28">
        <v>5</v>
      </c>
    </row>
    <row r="8" spans="1:10">
      <c r="A8" s="15" t="s">
        <v>16</v>
      </c>
      <c r="B8" s="15">
        <v>106</v>
      </c>
      <c r="C8" s="15">
        <v>3675069</v>
      </c>
      <c r="D8" s="15">
        <v>2.8842995873002657</v>
      </c>
      <c r="E8" s="28">
        <v>744.7</v>
      </c>
      <c r="F8" s="15">
        <v>96049</v>
      </c>
      <c r="G8" s="28">
        <v>10.199999999999999</v>
      </c>
      <c r="H8" s="15">
        <v>-7</v>
      </c>
      <c r="I8" s="15">
        <v>55.7</v>
      </c>
      <c r="J8" s="28">
        <v>7</v>
      </c>
    </row>
    <row r="9" spans="1:10">
      <c r="A9" s="15" t="s">
        <v>17</v>
      </c>
      <c r="B9" s="15">
        <v>18</v>
      </c>
      <c r="C9" s="15">
        <v>1051917</v>
      </c>
      <c r="D9" s="15">
        <v>1.7111616220671404</v>
      </c>
      <c r="E9" s="28">
        <v>508</v>
      </c>
      <c r="F9" s="15">
        <v>87534</v>
      </c>
      <c r="G9" s="28">
        <v>9.6</v>
      </c>
      <c r="H9" s="15">
        <v>-7</v>
      </c>
      <c r="I9" s="15">
        <v>59.6</v>
      </c>
      <c r="J9" s="28">
        <v>7</v>
      </c>
    </row>
    <row r="10" spans="1:10">
      <c r="A10" s="15" t="s">
        <v>18</v>
      </c>
      <c r="B10" s="15">
        <v>169</v>
      </c>
      <c r="C10" s="15">
        <v>702250</v>
      </c>
      <c r="D10" s="15">
        <v>24.065503737985047</v>
      </c>
      <c r="E10" s="29">
        <v>11280</v>
      </c>
      <c r="F10" s="15">
        <v>109707</v>
      </c>
      <c r="G10" s="28">
        <v>17.3</v>
      </c>
      <c r="H10" s="15">
        <v>0</v>
      </c>
      <c r="I10" s="15">
        <v>67.2</v>
      </c>
      <c r="J10" s="28">
        <v>7</v>
      </c>
    </row>
    <row r="11" spans="1:10">
      <c r="A11" s="15" t="s">
        <v>19</v>
      </c>
      <c r="B11" s="15">
        <v>194</v>
      </c>
      <c r="C11" s="15">
        <v>23372215</v>
      </c>
      <c r="D11" s="15">
        <v>0.8300454193151996</v>
      </c>
      <c r="E11" s="28">
        <v>401.4</v>
      </c>
      <c r="F11" s="15">
        <v>77735</v>
      </c>
      <c r="G11" s="28">
        <v>12</v>
      </c>
      <c r="H11" s="15">
        <v>3</v>
      </c>
      <c r="I11" s="15">
        <v>64.099999999999994</v>
      </c>
      <c r="J11" s="28">
        <v>5</v>
      </c>
    </row>
    <row r="12" spans="1:10">
      <c r="A12" s="15" t="s">
        <v>20</v>
      </c>
      <c r="B12" s="15">
        <v>85</v>
      </c>
      <c r="C12" s="15">
        <v>11180878</v>
      </c>
      <c r="D12" s="15">
        <v>0.76022652246093736</v>
      </c>
      <c r="E12" s="28">
        <v>185.6</v>
      </c>
      <c r="F12" s="15">
        <v>79991</v>
      </c>
      <c r="G12" s="28">
        <v>12.6</v>
      </c>
      <c r="H12" s="15">
        <v>3</v>
      </c>
      <c r="I12" s="15">
        <v>64.099999999999994</v>
      </c>
      <c r="J12" s="28">
        <v>7</v>
      </c>
    </row>
    <row r="13" spans="1:10">
      <c r="A13" s="15" t="s">
        <v>21</v>
      </c>
      <c r="B13" s="15">
        <v>40</v>
      </c>
      <c r="C13" s="15">
        <v>1446146</v>
      </c>
      <c r="D13" s="15">
        <v>2.7659724536803338</v>
      </c>
      <c r="E13" s="28">
        <v>226.6</v>
      </c>
      <c r="F13" s="15">
        <v>100745</v>
      </c>
      <c r="G13" s="28">
        <v>10</v>
      </c>
      <c r="H13" s="15">
        <v>-14</v>
      </c>
      <c r="I13" s="15">
        <v>76</v>
      </c>
      <c r="J13" s="28">
        <v>7</v>
      </c>
    </row>
    <row r="14" spans="1:10">
      <c r="A14" s="15" t="s">
        <v>22</v>
      </c>
      <c r="B14" s="15">
        <v>67</v>
      </c>
      <c r="C14" s="15">
        <v>2001619</v>
      </c>
      <c r="D14" s="15">
        <v>3.3472903684467421</v>
      </c>
      <c r="E14" s="28">
        <v>22.3</v>
      </c>
      <c r="F14" s="15">
        <v>81166</v>
      </c>
      <c r="G14" s="28">
        <v>10.5</v>
      </c>
      <c r="H14" s="15">
        <v>18</v>
      </c>
      <c r="I14" s="15">
        <v>35.9</v>
      </c>
      <c r="J14" s="28">
        <v>3</v>
      </c>
    </row>
    <row r="15" spans="1:10">
      <c r="A15" s="15" t="s">
        <v>23</v>
      </c>
      <c r="B15" s="15">
        <v>381</v>
      </c>
      <c r="C15" s="15">
        <v>12710158</v>
      </c>
      <c r="D15" s="15">
        <v>2.9976023901512474</v>
      </c>
      <c r="E15" s="28">
        <v>230.8</v>
      </c>
      <c r="F15" s="15">
        <v>83211</v>
      </c>
      <c r="G15" s="28">
        <v>11.6</v>
      </c>
      <c r="H15" s="15">
        <v>-7</v>
      </c>
      <c r="I15" s="15">
        <v>60.3</v>
      </c>
      <c r="J15" s="28">
        <v>6</v>
      </c>
    </row>
    <row r="16" spans="1:10">
      <c r="A16" s="15" t="s">
        <v>24</v>
      </c>
      <c r="B16" s="15">
        <v>149</v>
      </c>
      <c r="C16" s="15">
        <v>6924275</v>
      </c>
      <c r="D16" s="15">
        <v>2.1518498326539603</v>
      </c>
      <c r="E16" s="28">
        <v>189.4</v>
      </c>
      <c r="F16" s="15">
        <v>71959</v>
      </c>
      <c r="G16" s="28">
        <v>12.2</v>
      </c>
      <c r="H16" s="15">
        <v>11</v>
      </c>
      <c r="I16" s="15">
        <v>41.3</v>
      </c>
      <c r="J16" s="28">
        <v>5</v>
      </c>
    </row>
    <row r="17" spans="1:10">
      <c r="A17" s="15" t="s">
        <v>25</v>
      </c>
      <c r="B17" s="15">
        <v>62</v>
      </c>
      <c r="C17" s="15">
        <v>3241488</v>
      </c>
      <c r="D17" s="15">
        <v>1.9127018208921334</v>
      </c>
      <c r="E17" s="28">
        <v>57.1</v>
      </c>
      <c r="F17" s="15">
        <v>75501</v>
      </c>
      <c r="G17" s="28">
        <v>11.3</v>
      </c>
      <c r="H17" s="15">
        <v>6</v>
      </c>
      <c r="I17" s="15">
        <v>30.8</v>
      </c>
      <c r="J17" s="28">
        <v>6</v>
      </c>
    </row>
    <row r="18" spans="1:10">
      <c r="A18" s="15" t="s">
        <v>26</v>
      </c>
      <c r="B18" s="15">
        <v>104</v>
      </c>
      <c r="C18" s="15">
        <v>2970606</v>
      </c>
      <c r="D18" s="15">
        <v>3.5009691625210482</v>
      </c>
      <c r="E18" s="28">
        <v>35.9</v>
      </c>
      <c r="F18" s="15">
        <v>75514</v>
      </c>
      <c r="G18" s="28">
        <v>10.9</v>
      </c>
      <c r="H18" s="15">
        <v>10</v>
      </c>
      <c r="I18" s="15">
        <v>45.4</v>
      </c>
      <c r="J18" s="28">
        <v>5</v>
      </c>
    </row>
    <row r="19" spans="1:10">
      <c r="A19" s="15" t="s">
        <v>27</v>
      </c>
      <c r="B19" s="15">
        <v>129</v>
      </c>
      <c r="C19" s="15">
        <v>4588372</v>
      </c>
      <c r="D19" s="15">
        <v>2.8114546946062786</v>
      </c>
      <c r="E19" s="28">
        <v>114.1</v>
      </c>
      <c r="F19" s="15">
        <v>64526</v>
      </c>
      <c r="G19" s="28">
        <v>15.6</v>
      </c>
      <c r="H19" s="15">
        <v>16</v>
      </c>
      <c r="I19" s="15">
        <v>32.799999999999997</v>
      </c>
      <c r="J19" s="28">
        <v>4</v>
      </c>
    </row>
    <row r="20" spans="1:10">
      <c r="A20" s="15" t="s">
        <v>28</v>
      </c>
      <c r="B20" s="15">
        <v>71</v>
      </c>
      <c r="C20" s="15">
        <v>4597740</v>
      </c>
      <c r="D20" s="15">
        <v>1.5442369511977625</v>
      </c>
      <c r="E20" s="28">
        <v>107.8</v>
      </c>
      <c r="F20" s="15">
        <v>60986</v>
      </c>
      <c r="G20" s="28">
        <v>18.7</v>
      </c>
      <c r="H20" s="15">
        <v>12</v>
      </c>
      <c r="I20" s="15">
        <v>58.6</v>
      </c>
      <c r="J20" s="28">
        <v>6</v>
      </c>
    </row>
    <row r="21" spans="1:10">
      <c r="A21" s="15" t="s">
        <v>29</v>
      </c>
      <c r="B21" s="15">
        <v>49</v>
      </c>
      <c r="C21" s="15">
        <v>1405012</v>
      </c>
      <c r="D21" s="15">
        <v>3.4875146973833679</v>
      </c>
      <c r="E21" s="28">
        <v>44.2</v>
      </c>
      <c r="F21" s="15">
        <v>76442</v>
      </c>
      <c r="G21" s="28">
        <v>10.6</v>
      </c>
      <c r="H21" s="15">
        <v>-2</v>
      </c>
      <c r="I21" s="15">
        <v>18.5</v>
      </c>
      <c r="J21" s="28">
        <v>5</v>
      </c>
    </row>
    <row r="22" spans="1:10">
      <c r="A22" s="15" t="s">
        <v>30</v>
      </c>
      <c r="B22" s="15">
        <v>278</v>
      </c>
      <c r="C22" s="15">
        <v>6263220</v>
      </c>
      <c r="D22" s="15">
        <v>4.4386114490629422</v>
      </c>
      <c r="E22" s="28">
        <v>636.1</v>
      </c>
      <c r="F22" s="15">
        <v>102905</v>
      </c>
      <c r="G22" s="28">
        <v>9.1</v>
      </c>
      <c r="H22" s="15">
        <v>-14</v>
      </c>
      <c r="I22" s="15">
        <v>67.3</v>
      </c>
      <c r="J22" s="28">
        <v>6</v>
      </c>
    </row>
    <row r="23" spans="1:10">
      <c r="A23" s="15" t="s">
        <v>31</v>
      </c>
      <c r="B23" s="15">
        <v>467</v>
      </c>
      <c r="C23" s="15">
        <v>7136171</v>
      </c>
      <c r="D23" s="15">
        <v>6.5441256942974046</v>
      </c>
      <c r="E23" s="28">
        <v>901.2</v>
      </c>
      <c r="F23" s="15">
        <v>104828</v>
      </c>
      <c r="G23" s="28">
        <v>9.6999999999999993</v>
      </c>
      <c r="H23" s="15">
        <v>-15</v>
      </c>
      <c r="I23" s="15">
        <v>51.6</v>
      </c>
      <c r="J23" s="28">
        <v>7</v>
      </c>
    </row>
    <row r="24" spans="1:10">
      <c r="A24" s="15" t="s">
        <v>32</v>
      </c>
      <c r="B24" s="15">
        <v>460</v>
      </c>
      <c r="C24" s="15">
        <v>10140459</v>
      </c>
      <c r="D24" s="15">
        <v>4.5362838112160402</v>
      </c>
      <c r="E24" s="28">
        <v>178</v>
      </c>
      <c r="F24" s="15">
        <v>72389</v>
      </c>
      <c r="G24" s="28">
        <v>13.4</v>
      </c>
      <c r="H24" s="15">
        <v>1</v>
      </c>
      <c r="I24" s="15">
        <v>45.2</v>
      </c>
      <c r="J24" s="28">
        <v>4</v>
      </c>
    </row>
    <row r="25" spans="1:10">
      <c r="A25" s="15" t="s">
        <v>33</v>
      </c>
      <c r="B25" s="15">
        <v>223</v>
      </c>
      <c r="C25" s="15">
        <v>5793151</v>
      </c>
      <c r="D25" s="15">
        <v>3.8493731649666993</v>
      </c>
      <c r="E25" s="28">
        <v>71.7</v>
      </c>
      <c r="F25" s="15">
        <v>87117</v>
      </c>
      <c r="G25" s="28">
        <v>9.3000000000000007</v>
      </c>
      <c r="H25" s="15">
        <v>-1</v>
      </c>
      <c r="I25" s="15">
        <v>40.5</v>
      </c>
      <c r="J25" s="28">
        <v>6</v>
      </c>
    </row>
    <row r="26" spans="1:10">
      <c r="A26" s="15" t="s">
        <v>34</v>
      </c>
      <c r="B26" s="15">
        <v>8</v>
      </c>
      <c r="C26" s="15">
        <v>2943045</v>
      </c>
      <c r="D26" s="15">
        <v>0.27182730811115696</v>
      </c>
      <c r="E26" s="28">
        <v>63.1</v>
      </c>
      <c r="F26" s="15">
        <v>59127</v>
      </c>
      <c r="G26" s="28">
        <v>17.8</v>
      </c>
      <c r="H26" s="15">
        <v>11</v>
      </c>
      <c r="I26" s="15">
        <v>55.9</v>
      </c>
      <c r="J26" s="28">
        <v>4</v>
      </c>
    </row>
    <row r="27" spans="1:10">
      <c r="A27" s="15" t="s">
        <v>35</v>
      </c>
      <c r="B27" s="15">
        <v>246</v>
      </c>
      <c r="C27" s="15">
        <v>6245466</v>
      </c>
      <c r="D27" s="15">
        <v>3.938857404715677</v>
      </c>
      <c r="E27" s="28">
        <v>89.5</v>
      </c>
      <c r="F27" s="15">
        <v>71589</v>
      </c>
      <c r="G27" s="28">
        <v>12.3</v>
      </c>
      <c r="H27" s="15">
        <v>10</v>
      </c>
      <c r="I27" s="15">
        <v>40.799999999999997</v>
      </c>
      <c r="J27" s="28">
        <v>6</v>
      </c>
    </row>
    <row r="28" spans="1:10">
      <c r="A28" s="15" t="s">
        <v>36</v>
      </c>
      <c r="B28" s="15">
        <v>11</v>
      </c>
      <c r="C28" s="15">
        <v>1137233</v>
      </c>
      <c r="D28" s="15">
        <v>0.96726000740393558</v>
      </c>
      <c r="E28" s="28">
        <v>7.4</v>
      </c>
      <c r="F28" s="15">
        <v>75340</v>
      </c>
      <c r="G28" s="28">
        <v>10.199999999999999</v>
      </c>
      <c r="H28" s="15">
        <v>11</v>
      </c>
      <c r="I28" s="15">
        <v>30.1</v>
      </c>
      <c r="J28" s="28">
        <v>3</v>
      </c>
    </row>
    <row r="29" spans="1:10">
      <c r="A29" s="15" t="s">
        <v>37</v>
      </c>
      <c r="B29" s="15">
        <v>44</v>
      </c>
      <c r="C29" s="15">
        <v>2005465</v>
      </c>
      <c r="D29" s="15">
        <v>2.1940048816608617</v>
      </c>
      <c r="E29" s="28">
        <v>25.5</v>
      </c>
      <c r="F29" s="15">
        <v>76376</v>
      </c>
      <c r="G29" s="28">
        <v>10.9</v>
      </c>
      <c r="H29" s="15">
        <v>13</v>
      </c>
      <c r="I29" s="15">
        <v>40.799999999999997</v>
      </c>
      <c r="J29" s="28">
        <v>6</v>
      </c>
    </row>
    <row r="30" spans="1:10">
      <c r="A30" s="15" t="s">
        <v>38</v>
      </c>
      <c r="B30" s="15">
        <v>160</v>
      </c>
      <c r="C30" s="15">
        <v>3267467</v>
      </c>
      <c r="D30" s="15">
        <v>4.8967594776014574</v>
      </c>
      <c r="E30" s="28">
        <v>28.3</v>
      </c>
      <c r="F30" s="15">
        <v>81134</v>
      </c>
      <c r="G30" s="28">
        <v>11.6</v>
      </c>
      <c r="H30" s="15">
        <v>1</v>
      </c>
      <c r="I30" s="15">
        <v>68.8</v>
      </c>
      <c r="J30" s="28">
        <v>7</v>
      </c>
    </row>
    <row r="31" spans="1:10">
      <c r="A31" s="15" t="s">
        <v>39</v>
      </c>
      <c r="B31" s="15">
        <v>31</v>
      </c>
      <c r="C31" s="15">
        <v>1409032</v>
      </c>
      <c r="D31" s="15">
        <v>2.2000919780388237</v>
      </c>
      <c r="E31" s="28">
        <v>153.80000000000001</v>
      </c>
      <c r="F31" s="15">
        <v>99782</v>
      </c>
      <c r="G31" s="28">
        <v>7.2</v>
      </c>
      <c r="H31" s="15">
        <v>-1</v>
      </c>
      <c r="I31" s="15">
        <v>23.6</v>
      </c>
      <c r="J31" s="28">
        <v>7</v>
      </c>
    </row>
    <row r="32" spans="1:10">
      <c r="A32" s="15" t="s">
        <v>40</v>
      </c>
      <c r="B32" s="15">
        <v>1211</v>
      </c>
      <c r="C32" s="15">
        <v>9500851</v>
      </c>
      <c r="D32" s="15">
        <v>12.746226627488422</v>
      </c>
      <c r="E32" s="29">
        <v>1263</v>
      </c>
      <c r="F32" s="15">
        <v>104294</v>
      </c>
      <c r="G32" s="28">
        <v>9.1999999999999993</v>
      </c>
      <c r="H32" s="15">
        <v>-6</v>
      </c>
      <c r="I32" s="15">
        <v>65.8</v>
      </c>
      <c r="J32" s="28">
        <v>7</v>
      </c>
    </row>
    <row r="33" spans="1:10">
      <c r="A33" s="15" t="s">
        <v>41</v>
      </c>
      <c r="B33" s="15">
        <v>51</v>
      </c>
      <c r="C33" s="15">
        <v>2130256</v>
      </c>
      <c r="D33" s="15">
        <v>2.3940784581759189</v>
      </c>
      <c r="E33" s="28">
        <v>17.5</v>
      </c>
      <c r="F33" s="15">
        <v>67816</v>
      </c>
      <c r="G33" s="28">
        <v>16.399999999999999</v>
      </c>
      <c r="H33" s="15">
        <v>-3</v>
      </c>
      <c r="I33" s="15">
        <v>63</v>
      </c>
      <c r="J33" s="28">
        <v>7</v>
      </c>
    </row>
    <row r="34" spans="1:10">
      <c r="A34" s="15" t="s">
        <v>42</v>
      </c>
      <c r="B34" s="15">
        <v>922</v>
      </c>
      <c r="C34" s="15">
        <v>19867248</v>
      </c>
      <c r="D34" s="15">
        <v>4.6408037992982223</v>
      </c>
      <c r="E34" s="28">
        <v>428.7</v>
      </c>
      <c r="F34" s="15">
        <v>85820</v>
      </c>
      <c r="G34" s="28">
        <v>14</v>
      </c>
      <c r="H34" s="15">
        <v>-10</v>
      </c>
      <c r="I34" s="15">
        <v>65.8</v>
      </c>
      <c r="J34" s="28">
        <v>7</v>
      </c>
    </row>
    <row r="35" spans="1:10">
      <c r="A35" s="15" t="s">
        <v>43</v>
      </c>
      <c r="B35" s="15">
        <v>272</v>
      </c>
      <c r="C35" s="15">
        <v>11046024</v>
      </c>
      <c r="D35" s="15">
        <v>2.4624244886666915</v>
      </c>
      <c r="E35" s="28">
        <v>214.7</v>
      </c>
      <c r="F35" s="15">
        <v>73958</v>
      </c>
      <c r="G35" s="28">
        <v>12.5</v>
      </c>
      <c r="H35" s="15">
        <v>3</v>
      </c>
      <c r="I35" s="15">
        <v>57.9</v>
      </c>
      <c r="J35" s="28">
        <v>4</v>
      </c>
    </row>
    <row r="36" spans="1:10">
      <c r="A36" s="15" t="s">
        <v>44</v>
      </c>
      <c r="B36" s="15">
        <v>21</v>
      </c>
      <c r="C36" s="15">
        <v>796568</v>
      </c>
      <c r="D36" s="15">
        <v>2.6363097689086179</v>
      </c>
      <c r="E36" s="28">
        <v>11.3</v>
      </c>
      <c r="F36" s="15">
        <v>77871</v>
      </c>
      <c r="G36" s="28">
        <v>11.1</v>
      </c>
      <c r="H36" s="15">
        <v>20</v>
      </c>
      <c r="I36" s="15">
        <v>32.6</v>
      </c>
      <c r="J36" s="28">
        <v>4</v>
      </c>
    </row>
    <row r="37" spans="1:10">
      <c r="A37" s="15" t="s">
        <v>45</v>
      </c>
      <c r="B37" s="15">
        <v>357</v>
      </c>
      <c r="C37" s="15">
        <v>11883304</v>
      </c>
      <c r="D37" s="15">
        <v>3.0042149893665937</v>
      </c>
      <c r="E37" s="28">
        <v>288.8</v>
      </c>
      <c r="F37" s="15">
        <v>72212</v>
      </c>
      <c r="G37" s="28">
        <v>12.7</v>
      </c>
      <c r="H37" s="15">
        <v>6</v>
      </c>
      <c r="I37" s="15">
        <v>40.4</v>
      </c>
      <c r="J37" s="28">
        <v>4</v>
      </c>
    </row>
    <row r="38" spans="1:10">
      <c r="A38" s="15" t="s">
        <v>46</v>
      </c>
      <c r="B38" s="15">
        <v>82</v>
      </c>
      <c r="C38" s="15">
        <v>4095393</v>
      </c>
      <c r="D38" s="15">
        <v>2.0022498451308581</v>
      </c>
      <c r="E38" s="28">
        <v>57.7</v>
      </c>
      <c r="F38" s="15">
        <v>66148</v>
      </c>
      <c r="G38" s="28">
        <v>14.9</v>
      </c>
      <c r="H38" s="15">
        <v>20</v>
      </c>
      <c r="I38" s="15">
        <v>59.5</v>
      </c>
      <c r="J38" s="28">
        <v>4</v>
      </c>
    </row>
    <row r="39" spans="1:10">
      <c r="A39" s="15" t="s">
        <v>47</v>
      </c>
      <c r="B39" s="15">
        <v>330</v>
      </c>
      <c r="C39" s="15">
        <v>4272371</v>
      </c>
      <c r="D39" s="15">
        <v>7.7240483094749965</v>
      </c>
      <c r="E39" s="28">
        <v>44.1</v>
      </c>
      <c r="F39" s="15">
        <v>85220</v>
      </c>
      <c r="G39" s="28">
        <v>11.8</v>
      </c>
      <c r="H39" s="15">
        <v>-6</v>
      </c>
      <c r="I39" s="15">
        <v>46.1</v>
      </c>
      <c r="J39" s="28">
        <v>7</v>
      </c>
    </row>
    <row r="40" spans="1:10">
      <c r="A40" s="15" t="s">
        <v>48</v>
      </c>
      <c r="B40" s="15">
        <v>268</v>
      </c>
      <c r="C40" s="15">
        <v>13078751</v>
      </c>
      <c r="D40" s="15">
        <v>2.0491253331453438</v>
      </c>
      <c r="E40" s="28">
        <v>290.60000000000002</v>
      </c>
      <c r="F40" s="15">
        <v>77545</v>
      </c>
      <c r="G40" s="28">
        <v>11.6</v>
      </c>
      <c r="H40" s="15">
        <v>2</v>
      </c>
      <c r="I40" s="15">
        <v>44</v>
      </c>
      <c r="J40" s="28">
        <v>3</v>
      </c>
    </row>
    <row r="41" spans="1:10">
      <c r="A41" s="15" t="s">
        <v>49</v>
      </c>
      <c r="B41" s="15">
        <v>21</v>
      </c>
      <c r="C41" s="15">
        <v>1112308</v>
      </c>
      <c r="D41" s="15">
        <v>1.8879662827202539</v>
      </c>
      <c r="E41" s="29">
        <v>1061.4000000000001</v>
      </c>
      <c r="F41" s="15">
        <v>83504</v>
      </c>
      <c r="G41" s="28">
        <v>12.2</v>
      </c>
      <c r="H41" s="15">
        <v>-8</v>
      </c>
      <c r="I41" s="15">
        <v>49.4</v>
      </c>
      <c r="J41" s="28">
        <v>6</v>
      </c>
    </row>
    <row r="42" spans="1:10">
      <c r="A42" s="15" t="s">
        <v>50</v>
      </c>
      <c r="B42" s="15">
        <v>122</v>
      </c>
      <c r="C42" s="15">
        <v>5478831</v>
      </c>
      <c r="D42" s="15">
        <v>2.2267523856822744</v>
      </c>
      <c r="E42" s="28">
        <v>170.2</v>
      </c>
      <c r="F42" s="15">
        <v>72350</v>
      </c>
      <c r="G42" s="28">
        <v>13.3</v>
      </c>
      <c r="H42" s="15">
        <v>8</v>
      </c>
      <c r="I42" s="15">
        <v>54.6</v>
      </c>
      <c r="J42" s="28">
        <v>0</v>
      </c>
    </row>
    <row r="43" spans="1:10">
      <c r="A43" s="15" t="s">
        <v>51</v>
      </c>
      <c r="B43" s="15">
        <v>25</v>
      </c>
      <c r="C43" s="15">
        <v>924669</v>
      </c>
      <c r="D43" s="15">
        <v>2.7036701781934944</v>
      </c>
      <c r="E43" s="28">
        <v>11.7</v>
      </c>
      <c r="F43" s="15">
        <v>76881</v>
      </c>
      <c r="G43" s="28">
        <v>10.4</v>
      </c>
      <c r="H43" s="15">
        <v>16</v>
      </c>
      <c r="I43" s="15">
        <v>35.6</v>
      </c>
      <c r="J43" s="28">
        <v>3</v>
      </c>
    </row>
    <row r="44" spans="1:10">
      <c r="A44" s="15" t="s">
        <v>52</v>
      </c>
      <c r="B44" s="15">
        <v>84</v>
      </c>
      <c r="C44" s="15">
        <v>7227750</v>
      </c>
      <c r="D44" s="15">
        <v>1.1621874027186885</v>
      </c>
      <c r="E44" s="28">
        <v>167.6</v>
      </c>
      <c r="F44" s="15">
        <v>71997</v>
      </c>
      <c r="G44" s="28">
        <v>13.5</v>
      </c>
      <c r="H44" s="15">
        <v>14</v>
      </c>
      <c r="I44" s="15">
        <v>46.6</v>
      </c>
      <c r="J44" s="28">
        <v>6</v>
      </c>
    </row>
    <row r="45" spans="1:10">
      <c r="A45" s="15" t="s">
        <v>53</v>
      </c>
      <c r="B45" s="15">
        <v>467</v>
      </c>
      <c r="C45" s="15">
        <v>31290831</v>
      </c>
      <c r="D45" s="15">
        <v>1.4924499767999131</v>
      </c>
      <c r="E45" s="28">
        <v>111.6</v>
      </c>
      <c r="F45" s="15">
        <v>79721</v>
      </c>
      <c r="G45" s="28">
        <v>13.4</v>
      </c>
      <c r="H45" s="15">
        <v>5</v>
      </c>
      <c r="I45" s="15">
        <v>67</v>
      </c>
      <c r="J45" s="28">
        <v>6</v>
      </c>
    </row>
    <row r="46" spans="1:10">
      <c r="A46" s="15" t="s">
        <v>54</v>
      </c>
      <c r="B46" s="15">
        <v>78</v>
      </c>
      <c r="C46" s="15">
        <v>3503613</v>
      </c>
      <c r="D46" s="15">
        <v>2.2262732784699679</v>
      </c>
      <c r="E46" s="28">
        <v>39.700000000000003</v>
      </c>
      <c r="F46" s="15">
        <v>96658</v>
      </c>
      <c r="G46" s="28">
        <v>8.3000000000000007</v>
      </c>
      <c r="H46" s="15">
        <v>13</v>
      </c>
      <c r="I46" s="15">
        <v>40.700000000000003</v>
      </c>
      <c r="J46" s="28">
        <v>7</v>
      </c>
    </row>
    <row r="47" spans="1:10">
      <c r="A47" s="15" t="s">
        <v>55</v>
      </c>
      <c r="B47" s="15">
        <v>33</v>
      </c>
      <c r="C47" s="15">
        <v>648493</v>
      </c>
      <c r="D47" s="15">
        <v>5.0887210810294023</v>
      </c>
      <c r="E47" s="28">
        <v>69.8</v>
      </c>
      <c r="F47" s="15">
        <v>82730</v>
      </c>
      <c r="G47" s="28">
        <v>9</v>
      </c>
      <c r="H47" s="15">
        <v>-16</v>
      </c>
      <c r="I47" s="15">
        <v>20.2</v>
      </c>
      <c r="J47" s="28">
        <v>7</v>
      </c>
    </row>
    <row r="48" spans="1:10">
      <c r="A48" s="15" t="s">
        <v>56</v>
      </c>
      <c r="B48" s="15">
        <v>340</v>
      </c>
      <c r="C48" s="15">
        <v>8811195</v>
      </c>
      <c r="D48" s="15">
        <v>3.8587274484334984</v>
      </c>
      <c r="E48" s="28">
        <v>218.6</v>
      </c>
      <c r="F48" s="15">
        <v>92090</v>
      </c>
      <c r="G48" s="28">
        <v>9.6999999999999993</v>
      </c>
      <c r="H48" s="15">
        <v>-3</v>
      </c>
      <c r="I48" s="15">
        <v>60.5</v>
      </c>
      <c r="J48" s="28">
        <v>7</v>
      </c>
    </row>
    <row r="49" spans="1:10">
      <c r="A49" s="15" t="s">
        <v>57</v>
      </c>
      <c r="B49" s="15">
        <v>465</v>
      </c>
      <c r="C49" s="15">
        <v>7958180</v>
      </c>
      <c r="D49" s="15">
        <v>5.8430445152032249</v>
      </c>
      <c r="E49" s="28">
        <v>115.9</v>
      </c>
      <c r="F49" s="15">
        <v>99389</v>
      </c>
      <c r="G49" s="28">
        <v>9.9</v>
      </c>
      <c r="H49" s="15">
        <v>-8</v>
      </c>
      <c r="I49" s="15">
        <v>55.9</v>
      </c>
      <c r="J49" s="28">
        <v>7</v>
      </c>
    </row>
    <row r="50" spans="1:10">
      <c r="A50" s="15" t="s">
        <v>58</v>
      </c>
      <c r="B50" s="15">
        <v>61</v>
      </c>
      <c r="C50" s="15">
        <v>1769979</v>
      </c>
      <c r="D50" s="15">
        <v>3.4463685727344786</v>
      </c>
      <c r="E50" s="28">
        <v>74.599999999999994</v>
      </c>
      <c r="F50" s="15">
        <v>60798</v>
      </c>
      <c r="G50" s="28">
        <v>16.7</v>
      </c>
      <c r="H50" s="15">
        <v>22</v>
      </c>
      <c r="I50" s="15">
        <v>20.2</v>
      </c>
      <c r="J50" s="28">
        <v>4</v>
      </c>
    </row>
    <row r="51" spans="1:10">
      <c r="A51" s="15" t="s">
        <v>59</v>
      </c>
      <c r="B51">
        <v>117</v>
      </c>
      <c r="C51" s="15">
        <v>5960975</v>
      </c>
      <c r="D51" s="15">
        <v>1.9627661582207609</v>
      </c>
      <c r="E51" s="28">
        <v>108.8</v>
      </c>
      <c r="F51" s="15">
        <v>77488</v>
      </c>
      <c r="G51" s="28">
        <v>10.3</v>
      </c>
      <c r="H51" s="15">
        <v>2</v>
      </c>
      <c r="I51" s="15">
        <v>37</v>
      </c>
      <c r="J51" s="28">
        <v>5</v>
      </c>
    </row>
    <row r="52" spans="1:10">
      <c r="A52" s="15" t="s">
        <v>60</v>
      </c>
      <c r="B52">
        <v>23</v>
      </c>
      <c r="C52" s="15">
        <v>587618</v>
      </c>
      <c r="D52" s="15">
        <v>3.9141074643731133</v>
      </c>
      <c r="E52" s="28">
        <v>5.9</v>
      </c>
      <c r="F52" s="15">
        <v>75532</v>
      </c>
      <c r="G52" s="28">
        <v>10.1</v>
      </c>
      <c r="H52" s="15">
        <v>25</v>
      </c>
      <c r="I52" s="15">
        <v>32.4</v>
      </c>
      <c r="J52" s="2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9ABB-7915-DF43-AA6C-8770324CBFE6}">
  <dimension ref="A1:AY54"/>
  <sheetViews>
    <sheetView workbookViewId="0">
      <selection activeCell="H54" sqref="H54"/>
    </sheetView>
  </sheetViews>
  <sheetFormatPr defaultColWidth="10.83203125" defaultRowHeight="17"/>
  <cols>
    <col min="1" max="1" width="15.58203125" style="4" bestFit="1" customWidth="1"/>
    <col min="2" max="2" width="10.83203125" style="4" bestFit="1"/>
    <col min="3" max="3" width="15.83203125" style="2" bestFit="1" customWidth="1"/>
    <col min="4" max="4" width="13.58203125" style="4" bestFit="1" customWidth="1"/>
    <col min="5" max="5" width="15" style="3" bestFit="1" customWidth="1"/>
    <col min="6" max="6" width="20" style="3" bestFit="1" customWidth="1"/>
    <col min="7" max="7" width="14.83203125" style="4" customWidth="1"/>
    <col min="8" max="8" width="13.08203125" style="3" bestFit="1" customWidth="1"/>
    <col min="9" max="9" width="10.83203125" style="4"/>
    <col min="10" max="10" width="7.58203125" style="3" customWidth="1"/>
    <col min="11" max="11" width="15" style="3" customWidth="1"/>
    <col min="12" max="16384" width="10.83203125" style="4"/>
  </cols>
  <sheetData>
    <row r="1" spans="1:51" s="1" customFormat="1" ht="43.5">
      <c r="A1" s="8" t="s">
        <v>0</v>
      </c>
      <c r="B1" s="8" t="s">
        <v>1</v>
      </c>
      <c r="C1" s="8" t="s">
        <v>2</v>
      </c>
      <c r="D1" s="9" t="s">
        <v>3</v>
      </c>
      <c r="E1" s="9" t="s">
        <v>61</v>
      </c>
      <c r="F1" s="9" t="s">
        <v>62</v>
      </c>
      <c r="G1" s="9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26" t="s">
        <v>9</v>
      </c>
      <c r="M1" s="8"/>
    </row>
    <row r="2" spans="1:51" ht="16">
      <c r="A2" s="10" t="s">
        <v>10</v>
      </c>
      <c r="B2" s="10">
        <v>5</v>
      </c>
      <c r="C2" s="11">
        <v>5157699</v>
      </c>
      <c r="D2" s="12">
        <f>(B2/C2)*100000</f>
        <v>9.6942454377426837E-2</v>
      </c>
      <c r="E2" s="12">
        <v>18080</v>
      </c>
      <c r="F2" s="12">
        <f>(B2/E2)*1000</f>
        <v>0.27654867256637167</v>
      </c>
      <c r="G2" s="12">
        <v>99.2</v>
      </c>
      <c r="H2" s="12">
        <v>66659</v>
      </c>
      <c r="I2" s="30">
        <v>15.2</v>
      </c>
      <c r="J2" s="12">
        <v>15</v>
      </c>
      <c r="K2" s="10">
        <v>53.1</v>
      </c>
      <c r="L2" s="10">
        <v>4</v>
      </c>
      <c r="M2" s="13"/>
      <c r="T2" s="5"/>
      <c r="AP2" s="5"/>
      <c r="AY2" s="5"/>
    </row>
    <row r="3" spans="1:51" ht="16">
      <c r="A3" s="10" t="s">
        <v>11</v>
      </c>
      <c r="B3" s="10">
        <v>0</v>
      </c>
      <c r="C3" s="11">
        <v>740133</v>
      </c>
      <c r="D3" s="12">
        <f t="shared" ref="D3:D52" si="0">(B3/C3)*100000</f>
        <v>0</v>
      </c>
      <c r="E3" s="12">
        <v>6530</v>
      </c>
      <c r="F3" s="12">
        <v>0</v>
      </c>
      <c r="G3" s="13">
        <v>1.3</v>
      </c>
      <c r="H3" s="12">
        <v>95665</v>
      </c>
      <c r="I3" s="13">
        <v>10.199999999999999</v>
      </c>
      <c r="J3" s="12">
        <v>8</v>
      </c>
      <c r="K3" s="7">
        <v>62.8</v>
      </c>
      <c r="L3" s="13">
        <v>5</v>
      </c>
      <c r="M3" s="13"/>
    </row>
    <row r="4" spans="1:51" ht="16">
      <c r="A4" s="10" t="s">
        <v>12</v>
      </c>
      <c r="B4" s="10">
        <v>21</v>
      </c>
      <c r="C4" s="11">
        <v>7582384</v>
      </c>
      <c r="D4" s="12">
        <f t="shared" si="0"/>
        <v>0.27695774838098414</v>
      </c>
      <c r="E4" s="12">
        <v>132360</v>
      </c>
      <c r="F4" s="12">
        <f t="shared" ref="F4:F52" si="1">(B4/E4)*1000</f>
        <v>0.15865820489573887</v>
      </c>
      <c r="G4" s="13">
        <v>62.9</v>
      </c>
      <c r="H4" s="12">
        <v>81486</v>
      </c>
      <c r="I4" s="13">
        <v>11.7</v>
      </c>
      <c r="J4" s="12">
        <v>2</v>
      </c>
      <c r="K4" s="10">
        <v>61.5</v>
      </c>
      <c r="L4" s="13">
        <v>6</v>
      </c>
      <c r="M4" s="13"/>
    </row>
    <row r="5" spans="1:51" ht="16">
      <c r="A5" s="10" t="s">
        <v>13</v>
      </c>
      <c r="B5" s="10">
        <v>0</v>
      </c>
      <c r="C5" s="11">
        <v>3088354</v>
      </c>
      <c r="D5" s="12">
        <f t="shared" si="0"/>
        <v>0</v>
      </c>
      <c r="E5" s="12">
        <v>5120</v>
      </c>
      <c r="F5" s="12">
        <f t="shared" si="1"/>
        <v>0</v>
      </c>
      <c r="G5" s="13">
        <v>57.9</v>
      </c>
      <c r="H5" s="12">
        <v>62106</v>
      </c>
      <c r="I5" s="13">
        <v>15.5</v>
      </c>
      <c r="J5" s="12">
        <v>16</v>
      </c>
      <c r="K5" s="10">
        <v>49.8</v>
      </c>
      <c r="L5" s="13">
        <v>1</v>
      </c>
      <c r="M5" s="13"/>
    </row>
    <row r="6" spans="1:51" ht="16">
      <c r="A6" s="10" t="s">
        <v>14</v>
      </c>
      <c r="B6" s="10">
        <v>316</v>
      </c>
      <c r="C6" s="11">
        <v>39431263</v>
      </c>
      <c r="D6" s="12">
        <f t="shared" si="0"/>
        <v>0.80139456856859992</v>
      </c>
      <c r="E6" s="12">
        <v>1259325</v>
      </c>
      <c r="F6" s="12">
        <f t="shared" si="1"/>
        <v>0.25092807654894489</v>
      </c>
      <c r="G6" s="13">
        <v>253.7</v>
      </c>
      <c r="H6" s="12">
        <v>100149</v>
      </c>
      <c r="I6" s="13">
        <v>11.8</v>
      </c>
      <c r="J6" s="12">
        <v>-13</v>
      </c>
      <c r="K6" s="10">
        <v>69.7</v>
      </c>
      <c r="L6" s="13">
        <v>6</v>
      </c>
      <c r="M6" s="13"/>
    </row>
    <row r="7" spans="1:51" ht="16">
      <c r="A7" s="10" t="s">
        <v>15</v>
      </c>
      <c r="B7" s="10">
        <v>36</v>
      </c>
      <c r="C7" s="11">
        <v>5957493</v>
      </c>
      <c r="D7" s="12">
        <f t="shared" si="0"/>
        <v>0.60428102894959335</v>
      </c>
      <c r="E7" s="12">
        <v>117910</v>
      </c>
      <c r="F7" s="12">
        <f t="shared" si="1"/>
        <v>0.30531761513018402</v>
      </c>
      <c r="G7" s="13">
        <v>55.7</v>
      </c>
      <c r="H7" s="12">
        <v>97113</v>
      </c>
      <c r="I7" s="13">
        <v>9.6</v>
      </c>
      <c r="J7" s="12">
        <v>-4</v>
      </c>
      <c r="K7" s="10">
        <v>52.3</v>
      </c>
      <c r="L7" s="13">
        <v>5</v>
      </c>
      <c r="M7" s="13"/>
    </row>
    <row r="8" spans="1:51" ht="16">
      <c r="A8" s="10" t="s">
        <v>16</v>
      </c>
      <c r="B8" s="10">
        <v>34</v>
      </c>
      <c r="C8" s="11">
        <v>3675069</v>
      </c>
      <c r="D8" s="12">
        <f t="shared" si="0"/>
        <v>0.92515269781329279</v>
      </c>
      <c r="E8" s="12">
        <v>141500</v>
      </c>
      <c r="F8" s="12">
        <f t="shared" si="1"/>
        <v>0.24028268551236751</v>
      </c>
      <c r="G8" s="13">
        <v>744.7</v>
      </c>
      <c r="H8" s="12">
        <v>96049</v>
      </c>
      <c r="I8" s="13">
        <v>10.199999999999999</v>
      </c>
      <c r="J8" s="12">
        <v>-7</v>
      </c>
      <c r="K8" s="10">
        <v>55.7</v>
      </c>
      <c r="L8" s="13">
        <v>7</v>
      </c>
      <c r="M8" s="13"/>
    </row>
    <row r="9" spans="1:51" ht="16">
      <c r="A9" s="10" t="s">
        <v>17</v>
      </c>
      <c r="B9" s="10">
        <v>11</v>
      </c>
      <c r="C9" s="11">
        <v>1051917</v>
      </c>
      <c r="D9" s="12">
        <f t="shared" si="0"/>
        <v>1.0457098801521412</v>
      </c>
      <c r="E9" s="12">
        <v>17400</v>
      </c>
      <c r="F9" s="12">
        <f t="shared" si="1"/>
        <v>0.63218390804597702</v>
      </c>
      <c r="G9" s="13">
        <v>508</v>
      </c>
      <c r="H9" s="12">
        <v>87534</v>
      </c>
      <c r="I9" s="13">
        <v>9.6</v>
      </c>
      <c r="J9" s="12">
        <v>-7</v>
      </c>
      <c r="K9" s="10">
        <v>59.6</v>
      </c>
      <c r="L9" s="13">
        <v>7</v>
      </c>
      <c r="M9" s="13"/>
    </row>
    <row r="10" spans="1:51" ht="16">
      <c r="A10" s="10" t="s">
        <v>18</v>
      </c>
      <c r="B10" s="10">
        <v>4</v>
      </c>
      <c r="C10" s="11">
        <v>702250</v>
      </c>
      <c r="D10" s="12">
        <f t="shared" si="0"/>
        <v>0.56959772160911348</v>
      </c>
      <c r="E10" s="12">
        <v>57300</v>
      </c>
      <c r="F10" s="12">
        <f t="shared" si="1"/>
        <v>6.9808027923211169E-2</v>
      </c>
      <c r="G10" s="14">
        <v>11280</v>
      </c>
      <c r="H10" s="12">
        <v>109707</v>
      </c>
      <c r="I10" s="13">
        <v>17.3</v>
      </c>
      <c r="J10" s="10">
        <v>0</v>
      </c>
      <c r="K10" s="10">
        <v>67.2</v>
      </c>
      <c r="L10" s="13">
        <v>7</v>
      </c>
      <c r="M10" s="13"/>
    </row>
    <row r="11" spans="1:51" ht="16">
      <c r="A11" s="10" t="s">
        <v>19</v>
      </c>
      <c r="B11" s="10">
        <v>30</v>
      </c>
      <c r="C11" s="11">
        <v>23372215</v>
      </c>
      <c r="D11" s="12">
        <f t="shared" si="0"/>
        <v>0.12835753906936076</v>
      </c>
      <c r="E11" s="12">
        <v>761795</v>
      </c>
      <c r="F11" s="12">
        <f t="shared" si="1"/>
        <v>3.9380673278244148E-2</v>
      </c>
      <c r="G11" s="13">
        <v>401.4</v>
      </c>
      <c r="H11" s="12">
        <v>77735</v>
      </c>
      <c r="I11" s="13">
        <v>12</v>
      </c>
      <c r="J11" s="12">
        <v>3</v>
      </c>
      <c r="K11" s="10">
        <v>64.099999999999994</v>
      </c>
      <c r="L11" s="13">
        <v>5</v>
      </c>
      <c r="M11" s="13"/>
    </row>
    <row r="12" spans="1:51" ht="16">
      <c r="A12" s="10" t="s">
        <v>20</v>
      </c>
      <c r="B12" s="10">
        <v>9</v>
      </c>
      <c r="C12" s="11">
        <v>11180878</v>
      </c>
      <c r="D12" s="12">
        <f t="shared" si="0"/>
        <v>8.0494572966452183E-2</v>
      </c>
      <c r="E12" s="12">
        <v>148625</v>
      </c>
      <c r="F12" s="12">
        <f t="shared" si="1"/>
        <v>6.0555088309503784E-2</v>
      </c>
      <c r="G12" s="13">
        <v>185.6</v>
      </c>
      <c r="H12" s="12">
        <v>79991</v>
      </c>
      <c r="I12" s="13">
        <v>12.6</v>
      </c>
      <c r="J12" s="12">
        <v>3</v>
      </c>
      <c r="K12" s="10">
        <v>64.099999999999994</v>
      </c>
      <c r="L12" s="13">
        <v>7</v>
      </c>
      <c r="M12" s="13"/>
    </row>
    <row r="13" spans="1:51" ht="16">
      <c r="A13" s="10" t="s">
        <v>21</v>
      </c>
      <c r="B13" s="10">
        <v>2</v>
      </c>
      <c r="C13" s="11">
        <v>1446146</v>
      </c>
      <c r="D13" s="12">
        <f t="shared" si="0"/>
        <v>0.13829862268401669</v>
      </c>
      <c r="E13" s="12">
        <v>9900</v>
      </c>
      <c r="F13" s="12">
        <f t="shared" si="1"/>
        <v>0.20202020202020202</v>
      </c>
      <c r="G13" s="13">
        <v>226.6</v>
      </c>
      <c r="H13" s="12">
        <v>100745</v>
      </c>
      <c r="I13" s="13">
        <v>10</v>
      </c>
      <c r="J13" s="12">
        <v>-14</v>
      </c>
      <c r="K13" s="10">
        <v>76</v>
      </c>
      <c r="L13" s="13">
        <v>7</v>
      </c>
      <c r="M13" s="13"/>
    </row>
    <row r="14" spans="1:51" ht="16">
      <c r="A14" s="10" t="s">
        <v>22</v>
      </c>
      <c r="B14" s="10">
        <v>4</v>
      </c>
      <c r="C14" s="11">
        <v>2001619</v>
      </c>
      <c r="D14" s="12">
        <f t="shared" si="0"/>
        <v>0.19983823095204431</v>
      </c>
      <c r="E14" s="12">
        <v>5920</v>
      </c>
      <c r="F14" s="12">
        <f t="shared" si="1"/>
        <v>0.67567567567567566</v>
      </c>
      <c r="G14" s="13">
        <v>22.3</v>
      </c>
      <c r="H14" s="12">
        <v>81166</v>
      </c>
      <c r="I14" s="13">
        <v>10.5</v>
      </c>
      <c r="J14" s="12">
        <v>18</v>
      </c>
      <c r="K14" s="10">
        <v>35.9</v>
      </c>
      <c r="L14" s="13">
        <v>3</v>
      </c>
      <c r="M14" s="13"/>
    </row>
    <row r="15" spans="1:51" ht="16">
      <c r="A15" s="10" t="s">
        <v>23</v>
      </c>
      <c r="B15" s="10">
        <v>70</v>
      </c>
      <c r="C15" s="11">
        <v>12710158</v>
      </c>
      <c r="D15" s="12">
        <f t="shared" si="0"/>
        <v>0.55074059661571473</v>
      </c>
      <c r="E15" s="12">
        <v>334220</v>
      </c>
      <c r="F15" s="12">
        <f t="shared" si="1"/>
        <v>0.20944288193405541</v>
      </c>
      <c r="G15" s="13">
        <v>230.8</v>
      </c>
      <c r="H15" s="12">
        <v>83211</v>
      </c>
      <c r="I15" s="13">
        <v>11.6</v>
      </c>
      <c r="J15" s="12">
        <v>-7</v>
      </c>
      <c r="K15" s="10">
        <v>60.3</v>
      </c>
      <c r="L15" s="13">
        <v>6</v>
      </c>
      <c r="M15" s="13"/>
    </row>
    <row r="16" spans="1:51" ht="16">
      <c r="A16" s="10" t="s">
        <v>24</v>
      </c>
      <c r="B16" s="10">
        <v>14</v>
      </c>
      <c r="C16" s="11">
        <v>6924275</v>
      </c>
      <c r="D16" s="12">
        <f t="shared" si="0"/>
        <v>0.20218723259835869</v>
      </c>
      <c r="E16" s="12">
        <v>31280</v>
      </c>
      <c r="F16" s="12">
        <f t="shared" si="1"/>
        <v>0.44757033248081846</v>
      </c>
      <c r="G16" s="13">
        <v>189.4</v>
      </c>
      <c r="H16" s="12">
        <v>71959</v>
      </c>
      <c r="I16" s="13">
        <v>12.2</v>
      </c>
      <c r="J16" s="12">
        <v>11</v>
      </c>
      <c r="K16" s="10">
        <v>41.3</v>
      </c>
      <c r="L16" s="13">
        <v>5</v>
      </c>
      <c r="M16" s="13"/>
    </row>
    <row r="17" spans="1:13" ht="16">
      <c r="A17" s="10" t="s">
        <v>25</v>
      </c>
      <c r="B17" s="10">
        <v>5</v>
      </c>
      <c r="C17" s="11">
        <v>3241488</v>
      </c>
      <c r="D17" s="12">
        <f t="shared" si="0"/>
        <v>0.1542501468461398</v>
      </c>
      <c r="E17" s="12">
        <v>6385</v>
      </c>
      <c r="F17" s="12">
        <f t="shared" si="1"/>
        <v>0.78308535630383713</v>
      </c>
      <c r="G17" s="13">
        <v>57.1</v>
      </c>
      <c r="H17" s="12">
        <v>75501</v>
      </c>
      <c r="I17" s="13">
        <v>11.3</v>
      </c>
      <c r="J17" s="12">
        <v>6</v>
      </c>
      <c r="K17" s="10">
        <v>30.8</v>
      </c>
      <c r="L17" s="13">
        <v>6</v>
      </c>
      <c r="M17" s="13"/>
    </row>
    <row r="18" spans="1:13" ht="16">
      <c r="A18" s="10" t="s">
        <v>26</v>
      </c>
      <c r="B18" s="10">
        <v>2</v>
      </c>
      <c r="C18" s="11">
        <v>2970606</v>
      </c>
      <c r="D18" s="12">
        <f t="shared" si="0"/>
        <v>6.7326330048481695E-2</v>
      </c>
      <c r="E18" s="12">
        <v>17610</v>
      </c>
      <c r="F18" s="12">
        <f t="shared" si="1"/>
        <v>0.11357183418512209</v>
      </c>
      <c r="G18" s="13">
        <v>35.9</v>
      </c>
      <c r="H18" s="12">
        <v>75514</v>
      </c>
      <c r="I18" s="13">
        <v>10.9</v>
      </c>
      <c r="J18" s="12">
        <v>10</v>
      </c>
      <c r="K18" s="10">
        <v>45.4</v>
      </c>
      <c r="L18" s="13">
        <v>5</v>
      </c>
      <c r="M18" s="13"/>
    </row>
    <row r="19" spans="1:13" ht="16">
      <c r="A19" s="10" t="s">
        <v>27</v>
      </c>
      <c r="B19" s="10">
        <v>7</v>
      </c>
      <c r="C19" s="11">
        <v>4588372</v>
      </c>
      <c r="D19" s="12">
        <f t="shared" si="0"/>
        <v>0.15255955707165852</v>
      </c>
      <c r="E19" s="12">
        <v>18300</v>
      </c>
      <c r="F19" s="12">
        <f t="shared" si="1"/>
        <v>0.38251366120218577</v>
      </c>
      <c r="G19" s="13">
        <v>114.1</v>
      </c>
      <c r="H19" s="12">
        <v>64526</v>
      </c>
      <c r="I19" s="13">
        <v>15.6</v>
      </c>
      <c r="J19" s="12">
        <v>16</v>
      </c>
      <c r="K19" s="10">
        <v>32.799999999999997</v>
      </c>
      <c r="L19" s="13">
        <v>4</v>
      </c>
      <c r="M19" s="13"/>
    </row>
    <row r="20" spans="1:13" ht="16">
      <c r="A20" s="10" t="s">
        <v>28</v>
      </c>
      <c r="B20" s="10">
        <v>1</v>
      </c>
      <c r="C20" s="11">
        <v>4597740</v>
      </c>
      <c r="D20" s="12">
        <f t="shared" si="0"/>
        <v>2.1749816214052992E-2</v>
      </c>
      <c r="E20" s="12">
        <v>19915</v>
      </c>
      <c r="F20" s="12">
        <f t="shared" si="1"/>
        <v>5.0213406979663568E-2</v>
      </c>
      <c r="G20" s="13">
        <v>107.8</v>
      </c>
      <c r="H20" s="12">
        <v>60986</v>
      </c>
      <c r="I20" s="13">
        <v>18.7</v>
      </c>
      <c r="J20" s="12">
        <v>12</v>
      </c>
      <c r="K20" s="10">
        <v>58.6</v>
      </c>
      <c r="L20" s="13">
        <v>6</v>
      </c>
      <c r="M20" s="13"/>
    </row>
    <row r="21" spans="1:13" ht="16">
      <c r="A21" s="10" t="s">
        <v>29</v>
      </c>
      <c r="B21" s="10">
        <v>7</v>
      </c>
      <c r="C21" s="11">
        <v>1405012</v>
      </c>
      <c r="D21" s="12">
        <f t="shared" si="0"/>
        <v>0.49821638534048113</v>
      </c>
      <c r="E21" s="12">
        <v>18360</v>
      </c>
      <c r="F21" s="12">
        <f t="shared" si="1"/>
        <v>0.38126361655773416</v>
      </c>
      <c r="G21" s="13">
        <v>44.2</v>
      </c>
      <c r="H21" s="12">
        <v>76442</v>
      </c>
      <c r="I21" s="13">
        <v>10.6</v>
      </c>
      <c r="J21" s="12">
        <v>-2</v>
      </c>
      <c r="K21" s="10">
        <v>18.5</v>
      </c>
      <c r="L21" s="13">
        <v>5</v>
      </c>
      <c r="M21" s="13"/>
    </row>
    <row r="22" spans="1:13" ht="16">
      <c r="A22" s="10" t="s">
        <v>30</v>
      </c>
      <c r="B22" s="10">
        <v>57</v>
      </c>
      <c r="C22" s="11">
        <v>6263220</v>
      </c>
      <c r="D22" s="12">
        <f t="shared" si="0"/>
        <v>0.91007500934024355</v>
      </c>
      <c r="E22" s="12">
        <v>250860</v>
      </c>
      <c r="F22" s="12">
        <f t="shared" si="1"/>
        <v>0.22721836881128915</v>
      </c>
      <c r="G22" s="13">
        <v>636.1</v>
      </c>
      <c r="H22" s="12">
        <v>102905</v>
      </c>
      <c r="I22" s="13">
        <v>9.1</v>
      </c>
      <c r="J22" s="12">
        <v>-14</v>
      </c>
      <c r="K22" s="10">
        <v>67.3</v>
      </c>
      <c r="L22" s="13">
        <v>6</v>
      </c>
      <c r="M22" s="13"/>
    </row>
    <row r="23" spans="1:13" ht="16">
      <c r="A23" s="10" t="s">
        <v>31</v>
      </c>
      <c r="B23" s="10">
        <v>142</v>
      </c>
      <c r="C23" s="11">
        <v>7136171</v>
      </c>
      <c r="D23" s="12">
        <f t="shared" si="0"/>
        <v>1.9898626308141998</v>
      </c>
      <c r="E23" s="12">
        <v>318450</v>
      </c>
      <c r="F23" s="12">
        <f t="shared" si="1"/>
        <v>0.44590987596168946</v>
      </c>
      <c r="G23" s="13">
        <v>901.2</v>
      </c>
      <c r="H23" s="12">
        <v>104828</v>
      </c>
      <c r="I23" s="13">
        <v>9.6999999999999993</v>
      </c>
      <c r="J23" s="12">
        <v>-15</v>
      </c>
      <c r="K23" s="10">
        <v>51.6</v>
      </c>
      <c r="L23" s="13">
        <v>7</v>
      </c>
      <c r="M23" s="13"/>
    </row>
    <row r="24" spans="1:13" ht="16">
      <c r="A24" s="10" t="s">
        <v>32</v>
      </c>
      <c r="B24" s="10">
        <v>53</v>
      </c>
      <c r="C24" s="11">
        <v>10140459</v>
      </c>
      <c r="D24" s="12">
        <f t="shared" si="0"/>
        <v>0.52265878694445689</v>
      </c>
      <c r="E24" s="12">
        <v>129225</v>
      </c>
      <c r="F24" s="12">
        <f t="shared" si="1"/>
        <v>0.41013735732249951</v>
      </c>
      <c r="G24" s="13">
        <v>178</v>
      </c>
      <c r="H24" s="12">
        <v>72389</v>
      </c>
      <c r="I24" s="13">
        <v>13.4</v>
      </c>
      <c r="J24" s="12">
        <v>1</v>
      </c>
      <c r="K24" s="10">
        <v>45.2</v>
      </c>
      <c r="L24" s="13">
        <v>4</v>
      </c>
      <c r="M24" s="13"/>
    </row>
    <row r="25" spans="1:13" ht="16">
      <c r="A25" s="10" t="s">
        <v>33</v>
      </c>
      <c r="B25" s="10">
        <v>28</v>
      </c>
      <c r="C25" s="11">
        <v>5793151</v>
      </c>
      <c r="D25" s="12">
        <f t="shared" si="0"/>
        <v>0.48332936600478738</v>
      </c>
      <c r="E25" s="12">
        <v>68855</v>
      </c>
      <c r="F25" s="12">
        <f t="shared" si="1"/>
        <v>0.4066516592840026</v>
      </c>
      <c r="G25" s="13">
        <v>71.7</v>
      </c>
      <c r="H25" s="12">
        <v>87117</v>
      </c>
      <c r="I25" s="13">
        <v>9.3000000000000007</v>
      </c>
      <c r="J25" s="12">
        <v>-1</v>
      </c>
      <c r="K25" s="10">
        <v>40.5</v>
      </c>
      <c r="L25" s="13">
        <v>6</v>
      </c>
      <c r="M25" s="13"/>
    </row>
    <row r="26" spans="1:13" ht="16">
      <c r="A26" s="10" t="s">
        <v>34</v>
      </c>
      <c r="B26" s="10">
        <v>0</v>
      </c>
      <c r="C26" s="11">
        <v>2943045</v>
      </c>
      <c r="D26" s="12">
        <f t="shared" si="0"/>
        <v>0</v>
      </c>
      <c r="E26" s="12">
        <v>2910</v>
      </c>
      <c r="F26" s="12">
        <f t="shared" si="1"/>
        <v>0</v>
      </c>
      <c r="G26" s="13">
        <v>63.1</v>
      </c>
      <c r="H26" s="12">
        <v>59127</v>
      </c>
      <c r="I26" s="13">
        <v>17.8</v>
      </c>
      <c r="J26" s="12">
        <v>11</v>
      </c>
      <c r="K26" s="10">
        <v>55.9</v>
      </c>
      <c r="L26" s="13">
        <v>4</v>
      </c>
      <c r="M26" s="13"/>
    </row>
    <row r="27" spans="1:13" ht="16">
      <c r="A27" s="10" t="s">
        <v>35</v>
      </c>
      <c r="B27" s="10">
        <v>13</v>
      </c>
      <c r="C27" s="11">
        <v>6245466</v>
      </c>
      <c r="D27" s="12">
        <f t="shared" si="0"/>
        <v>0.2081510010622106</v>
      </c>
      <c r="E27" s="12">
        <v>56395</v>
      </c>
      <c r="F27" s="12">
        <f t="shared" si="1"/>
        <v>0.23051688979519461</v>
      </c>
      <c r="G27" s="13">
        <v>89.5</v>
      </c>
      <c r="H27" s="12">
        <v>71589</v>
      </c>
      <c r="I27" s="13">
        <v>12.3</v>
      </c>
      <c r="J27" s="12">
        <v>10</v>
      </c>
      <c r="K27" s="10">
        <v>40.799999999999997</v>
      </c>
      <c r="L27" s="13">
        <v>6</v>
      </c>
      <c r="M27" s="13"/>
    </row>
    <row r="28" spans="1:13" ht="16">
      <c r="A28" s="10" t="s">
        <v>36</v>
      </c>
      <c r="B28" s="10">
        <v>1</v>
      </c>
      <c r="C28" s="11">
        <v>1137233</v>
      </c>
      <c r="D28" s="12">
        <f t="shared" si="0"/>
        <v>8.7932727945812333E-2</v>
      </c>
      <c r="E28" s="12">
        <v>3170</v>
      </c>
      <c r="F28" s="12">
        <f t="shared" si="1"/>
        <v>0.31545741324921139</v>
      </c>
      <c r="G28" s="13">
        <v>7.4</v>
      </c>
      <c r="H28" s="12">
        <v>75340</v>
      </c>
      <c r="I28" s="13">
        <v>10.199999999999999</v>
      </c>
      <c r="J28" s="12">
        <v>11</v>
      </c>
      <c r="K28" s="10">
        <v>30.1</v>
      </c>
      <c r="L28" s="13">
        <v>3</v>
      </c>
      <c r="M28" s="13"/>
    </row>
    <row r="29" spans="1:13" ht="16">
      <c r="A29" s="10" t="s">
        <v>37</v>
      </c>
      <c r="B29" s="10">
        <v>3</v>
      </c>
      <c r="C29" s="11">
        <v>2005465</v>
      </c>
      <c r="D29" s="12">
        <f t="shared" si="0"/>
        <v>0.14959124193142237</v>
      </c>
      <c r="E29" s="12">
        <v>10245</v>
      </c>
      <c r="F29" s="12">
        <f t="shared" si="1"/>
        <v>0.29282576866764276</v>
      </c>
      <c r="G29" s="13">
        <v>25.5</v>
      </c>
      <c r="H29" s="12">
        <v>76376</v>
      </c>
      <c r="I29" s="13">
        <v>10.9</v>
      </c>
      <c r="J29" s="12">
        <v>13</v>
      </c>
      <c r="K29" s="10">
        <v>40.799999999999997</v>
      </c>
      <c r="L29" s="13">
        <v>6</v>
      </c>
      <c r="M29" s="13"/>
    </row>
    <row r="30" spans="1:13" ht="16">
      <c r="A30" s="10" t="s">
        <v>38</v>
      </c>
      <c r="B30" s="10">
        <v>15</v>
      </c>
      <c r="C30" s="11">
        <v>3267467</v>
      </c>
      <c r="D30" s="12">
        <f t="shared" si="0"/>
        <v>0.45907120102513654</v>
      </c>
      <c r="E30" s="12">
        <v>85330</v>
      </c>
      <c r="F30" s="12">
        <f t="shared" si="1"/>
        <v>0.17578811672330949</v>
      </c>
      <c r="G30" s="13">
        <v>28.3</v>
      </c>
      <c r="H30" s="12">
        <v>81134</v>
      </c>
      <c r="I30" s="13">
        <v>11.6</v>
      </c>
      <c r="J30" s="12">
        <v>1</v>
      </c>
      <c r="K30" s="10">
        <v>68.8</v>
      </c>
      <c r="L30" s="13">
        <v>7</v>
      </c>
      <c r="M30" s="13"/>
    </row>
    <row r="31" spans="1:13" ht="16">
      <c r="A31" s="10" t="s">
        <v>39</v>
      </c>
      <c r="B31" s="10">
        <v>9</v>
      </c>
      <c r="C31" s="11">
        <v>1409032</v>
      </c>
      <c r="D31" s="12">
        <f t="shared" si="0"/>
        <v>0.63873638072094885</v>
      </c>
      <c r="E31" s="12">
        <v>20900</v>
      </c>
      <c r="F31" s="12">
        <f t="shared" si="1"/>
        <v>0.43062200956937796</v>
      </c>
      <c r="G31" s="13">
        <v>153.80000000000001</v>
      </c>
      <c r="H31" s="12">
        <v>99782</v>
      </c>
      <c r="I31" s="13">
        <v>7.2</v>
      </c>
      <c r="J31" s="12">
        <v>-1</v>
      </c>
      <c r="K31" s="10">
        <v>23.6</v>
      </c>
      <c r="L31" s="13">
        <v>7</v>
      </c>
      <c r="M31" s="13"/>
    </row>
    <row r="32" spans="1:13" ht="16">
      <c r="A32" s="10" t="s">
        <v>40</v>
      </c>
      <c r="B32" s="10">
        <v>315</v>
      </c>
      <c r="C32" s="11">
        <v>9500851</v>
      </c>
      <c r="D32" s="12">
        <f t="shared" si="0"/>
        <v>3.3154924753582602</v>
      </c>
      <c r="E32" s="12">
        <v>581200</v>
      </c>
      <c r="F32" s="12">
        <f t="shared" si="1"/>
        <v>0.54198210598761176</v>
      </c>
      <c r="G32" s="14">
        <v>1263</v>
      </c>
      <c r="H32" s="12">
        <v>104294</v>
      </c>
      <c r="I32" s="13">
        <v>9.1999999999999993</v>
      </c>
      <c r="J32" s="12">
        <v>-6</v>
      </c>
      <c r="K32" s="10">
        <v>65.8</v>
      </c>
      <c r="L32" s="13">
        <v>7</v>
      </c>
      <c r="M32" s="13"/>
    </row>
    <row r="33" spans="1:13" ht="16">
      <c r="A33" s="10" t="s">
        <v>41</v>
      </c>
      <c r="B33" s="10">
        <v>1</v>
      </c>
      <c r="C33" s="11">
        <v>2130256</v>
      </c>
      <c r="D33" s="12">
        <f t="shared" si="0"/>
        <v>4.6942714866194481E-2</v>
      </c>
      <c r="E33" s="12">
        <v>19855</v>
      </c>
      <c r="F33" s="12">
        <f t="shared" si="1"/>
        <v>5.03651473180559E-2</v>
      </c>
      <c r="G33" s="13">
        <v>17.5</v>
      </c>
      <c r="H33" s="12">
        <v>67816</v>
      </c>
      <c r="I33" s="13">
        <v>16.399999999999999</v>
      </c>
      <c r="J33" s="12">
        <v>-3</v>
      </c>
      <c r="K33" s="10">
        <v>63</v>
      </c>
      <c r="L33" s="13">
        <v>7</v>
      </c>
      <c r="M33" s="13"/>
    </row>
    <row r="34" spans="1:13" ht="16">
      <c r="A34" s="10" t="s">
        <v>42</v>
      </c>
      <c r="B34" s="10">
        <v>457</v>
      </c>
      <c r="C34" s="11">
        <v>19867248</v>
      </c>
      <c r="D34" s="12">
        <f t="shared" si="0"/>
        <v>2.3002682606066021</v>
      </c>
      <c r="E34" s="12">
        <v>1672025</v>
      </c>
      <c r="F34" s="12">
        <f t="shared" si="1"/>
        <v>0.27332127211016582</v>
      </c>
      <c r="G34" s="13">
        <v>428.7</v>
      </c>
      <c r="H34" s="12">
        <v>85820</v>
      </c>
      <c r="I34" s="13">
        <v>14</v>
      </c>
      <c r="J34" s="12">
        <v>-10</v>
      </c>
      <c r="K34" s="10">
        <v>65.8</v>
      </c>
      <c r="L34" s="13">
        <v>7</v>
      </c>
      <c r="M34" s="13"/>
    </row>
    <row r="35" spans="1:13" ht="16">
      <c r="A35" s="10" t="s">
        <v>43</v>
      </c>
      <c r="B35" s="10">
        <v>28</v>
      </c>
      <c r="C35" s="11">
        <v>11046024</v>
      </c>
      <c r="D35" s="12">
        <f t="shared" si="0"/>
        <v>0.25348487383333584</v>
      </c>
      <c r="E35" s="12">
        <v>99830</v>
      </c>
      <c r="F35" s="12">
        <f t="shared" si="1"/>
        <v>0.28047681057798257</v>
      </c>
      <c r="G35" s="13">
        <v>214.7</v>
      </c>
      <c r="H35" s="12">
        <v>73958</v>
      </c>
      <c r="I35" s="13">
        <v>12.5</v>
      </c>
      <c r="J35" s="12">
        <v>3</v>
      </c>
      <c r="K35" s="10">
        <v>57.9</v>
      </c>
      <c r="L35" s="13">
        <v>4</v>
      </c>
      <c r="M35" s="13"/>
    </row>
    <row r="36" spans="1:13" ht="16">
      <c r="A36" s="10" t="s">
        <v>44</v>
      </c>
      <c r="B36" s="10">
        <v>2</v>
      </c>
      <c r="C36" s="11">
        <v>796568</v>
      </c>
      <c r="D36" s="12">
        <f t="shared" si="0"/>
        <v>0.25107712084843981</v>
      </c>
      <c r="E36" s="12">
        <v>920</v>
      </c>
      <c r="F36" s="12">
        <f t="shared" si="1"/>
        <v>2.1739130434782608</v>
      </c>
      <c r="G36" s="13">
        <v>11.3</v>
      </c>
      <c r="H36" s="12">
        <v>77871</v>
      </c>
      <c r="I36" s="13">
        <v>11.1</v>
      </c>
      <c r="J36" s="12">
        <v>20</v>
      </c>
      <c r="K36" s="10">
        <v>32.6</v>
      </c>
      <c r="L36" s="13">
        <v>4</v>
      </c>
      <c r="M36" s="13"/>
    </row>
    <row r="37" spans="1:13" ht="16">
      <c r="A37" s="10" t="s">
        <v>45</v>
      </c>
      <c r="B37" s="10">
        <v>22</v>
      </c>
      <c r="C37" s="11">
        <v>11883304</v>
      </c>
      <c r="D37" s="12">
        <f t="shared" si="0"/>
        <v>0.18513369682371164</v>
      </c>
      <c r="E37" s="12">
        <v>177295</v>
      </c>
      <c r="F37" s="12">
        <f t="shared" si="1"/>
        <v>0.12408697368792125</v>
      </c>
      <c r="G37" s="13">
        <v>288.8</v>
      </c>
      <c r="H37" s="12">
        <v>72212</v>
      </c>
      <c r="I37" s="13">
        <v>12.7</v>
      </c>
      <c r="J37" s="12">
        <v>6</v>
      </c>
      <c r="K37" s="10">
        <v>40.4</v>
      </c>
      <c r="L37" s="13">
        <v>4</v>
      </c>
      <c r="M37" s="13"/>
    </row>
    <row r="38" spans="1:13" ht="16">
      <c r="A38" s="10" t="s">
        <v>46</v>
      </c>
      <c r="B38" s="10">
        <v>4</v>
      </c>
      <c r="C38" s="11">
        <v>4095393</v>
      </c>
      <c r="D38" s="12">
        <f t="shared" si="0"/>
        <v>9.7670724152724778E-2</v>
      </c>
      <c r="E38" s="12">
        <v>8920</v>
      </c>
      <c r="F38" s="12">
        <f t="shared" si="1"/>
        <v>0.44843049327354262</v>
      </c>
      <c r="G38" s="13">
        <v>57.7</v>
      </c>
      <c r="H38" s="12">
        <v>66148</v>
      </c>
      <c r="I38" s="13">
        <v>14.9</v>
      </c>
      <c r="J38" s="12">
        <v>20</v>
      </c>
      <c r="K38" s="10">
        <v>59.5</v>
      </c>
      <c r="L38" s="13">
        <v>4</v>
      </c>
      <c r="M38" s="13"/>
    </row>
    <row r="39" spans="1:13" ht="16">
      <c r="A39" s="10" t="s">
        <v>47</v>
      </c>
      <c r="B39" s="10">
        <v>17</v>
      </c>
      <c r="C39" s="11">
        <v>4272371</v>
      </c>
      <c r="D39" s="12">
        <f t="shared" si="0"/>
        <v>0.39790551897295434</v>
      </c>
      <c r="E39" s="12">
        <v>70105</v>
      </c>
      <c r="F39" s="12">
        <f t="shared" si="1"/>
        <v>0.24249340275301332</v>
      </c>
      <c r="G39" s="13">
        <v>44.1</v>
      </c>
      <c r="H39" s="12">
        <v>85220</v>
      </c>
      <c r="I39" s="13">
        <v>11.8</v>
      </c>
      <c r="J39" s="12">
        <v>-6</v>
      </c>
      <c r="K39" s="10">
        <v>46.1</v>
      </c>
      <c r="L39" s="13">
        <v>7</v>
      </c>
      <c r="M39" s="13"/>
    </row>
    <row r="40" spans="1:13" ht="16">
      <c r="A40" s="10" t="s">
        <v>48</v>
      </c>
      <c r="B40" s="10">
        <v>75</v>
      </c>
      <c r="C40" s="11">
        <v>13078751</v>
      </c>
      <c r="D40" s="12">
        <f t="shared" si="0"/>
        <v>0.57344925367873434</v>
      </c>
      <c r="E40" s="12">
        <v>347860</v>
      </c>
      <c r="F40" s="12">
        <f t="shared" si="1"/>
        <v>0.21560397861208533</v>
      </c>
      <c r="G40" s="13">
        <v>290.60000000000002</v>
      </c>
      <c r="H40" s="12">
        <v>77545</v>
      </c>
      <c r="I40" s="13">
        <v>11.6</v>
      </c>
      <c r="J40" s="12">
        <v>2</v>
      </c>
      <c r="K40" s="10">
        <v>44</v>
      </c>
      <c r="L40" s="13">
        <v>3</v>
      </c>
      <c r="M40" s="13"/>
    </row>
    <row r="41" spans="1:13" ht="16">
      <c r="A41" s="10" t="s">
        <v>49</v>
      </c>
      <c r="B41" s="10">
        <v>5</v>
      </c>
      <c r="C41" s="11">
        <v>1112308</v>
      </c>
      <c r="D41" s="12">
        <f t="shared" si="0"/>
        <v>0.44951578160006039</v>
      </c>
      <c r="E41" s="12">
        <v>18950</v>
      </c>
      <c r="F41" s="12">
        <f t="shared" si="1"/>
        <v>0.26385224274406333</v>
      </c>
      <c r="G41" s="14">
        <v>1061.4000000000001</v>
      </c>
      <c r="H41" s="12">
        <v>83504</v>
      </c>
      <c r="I41" s="13">
        <v>12.2</v>
      </c>
      <c r="J41" s="12">
        <v>-8</v>
      </c>
      <c r="K41" s="10">
        <v>49.4</v>
      </c>
      <c r="L41" s="13">
        <v>6</v>
      </c>
      <c r="M41" s="13"/>
    </row>
    <row r="42" spans="1:13" ht="16">
      <c r="A42" s="10" t="s">
        <v>50</v>
      </c>
      <c r="B42" s="10">
        <v>4</v>
      </c>
      <c r="C42" s="11">
        <v>5478831</v>
      </c>
      <c r="D42" s="12">
        <f t="shared" si="0"/>
        <v>7.3008274940402434E-2</v>
      </c>
      <c r="E42" s="12">
        <v>36245</v>
      </c>
      <c r="F42" s="12">
        <f t="shared" si="1"/>
        <v>0.11036004966202234</v>
      </c>
      <c r="G42" s="13">
        <v>170.2</v>
      </c>
      <c r="H42" s="12">
        <v>72350</v>
      </c>
      <c r="I42" s="13">
        <v>13.3</v>
      </c>
      <c r="J42" s="12">
        <v>8</v>
      </c>
      <c r="K42" s="10">
        <v>54.6</v>
      </c>
      <c r="L42" s="13">
        <v>0</v>
      </c>
      <c r="M42" s="13"/>
    </row>
    <row r="43" spans="1:13" ht="16">
      <c r="A43" s="10" t="s">
        <v>51</v>
      </c>
      <c r="B43" s="10">
        <v>1</v>
      </c>
      <c r="C43" s="11">
        <v>924669</v>
      </c>
      <c r="D43" s="12">
        <f t="shared" si="0"/>
        <v>0.10814680712773976</v>
      </c>
      <c r="E43" s="12">
        <v>765</v>
      </c>
      <c r="F43" s="12">
        <f t="shared" si="1"/>
        <v>1.3071895424836601</v>
      </c>
      <c r="G43" s="13">
        <v>11.7</v>
      </c>
      <c r="H43" s="12">
        <v>76881</v>
      </c>
      <c r="I43" s="13">
        <v>10.4</v>
      </c>
      <c r="J43" s="12">
        <v>16</v>
      </c>
      <c r="K43" s="10">
        <v>35.6</v>
      </c>
      <c r="L43" s="13">
        <v>3</v>
      </c>
      <c r="M43" s="13"/>
    </row>
    <row r="44" spans="1:13" ht="16">
      <c r="A44" s="10" t="s">
        <v>52</v>
      </c>
      <c r="B44" s="10">
        <v>4</v>
      </c>
      <c r="C44" s="11">
        <v>7227750</v>
      </c>
      <c r="D44" s="12">
        <f t="shared" si="0"/>
        <v>5.53422572723185E-2</v>
      </c>
      <c r="E44" s="12">
        <v>29820</v>
      </c>
      <c r="F44" s="12">
        <f t="shared" si="1"/>
        <v>0.1341381623071764</v>
      </c>
      <c r="G44" s="13">
        <v>167.6</v>
      </c>
      <c r="H44" s="12">
        <v>71997</v>
      </c>
      <c r="I44" s="13">
        <v>13.5</v>
      </c>
      <c r="J44" s="12">
        <v>14</v>
      </c>
      <c r="K44" s="10">
        <v>46.6</v>
      </c>
      <c r="L44" s="13">
        <v>6</v>
      </c>
      <c r="M44" s="13"/>
    </row>
    <row r="45" spans="1:13" ht="16">
      <c r="A45" s="10" t="s">
        <v>53</v>
      </c>
      <c r="B45" s="10">
        <v>52</v>
      </c>
      <c r="C45" s="11">
        <v>31290831</v>
      </c>
      <c r="D45" s="12">
        <f t="shared" si="0"/>
        <v>0.16618286679570765</v>
      </c>
      <c r="E45" s="12">
        <v>220840</v>
      </c>
      <c r="F45" s="12">
        <f t="shared" si="1"/>
        <v>0.235464589748234</v>
      </c>
      <c r="G45" s="13">
        <v>111.6</v>
      </c>
      <c r="H45" s="12">
        <v>79721</v>
      </c>
      <c r="I45" s="13">
        <v>13.4</v>
      </c>
      <c r="J45" s="12">
        <v>5</v>
      </c>
      <c r="K45" s="10">
        <v>67</v>
      </c>
      <c r="L45" s="13">
        <v>6</v>
      </c>
      <c r="M45" s="13"/>
    </row>
    <row r="46" spans="1:13" ht="16">
      <c r="A46" s="10" t="s">
        <v>54</v>
      </c>
      <c r="B46" s="10">
        <v>4</v>
      </c>
      <c r="C46" s="11">
        <v>3503613</v>
      </c>
      <c r="D46" s="12">
        <f t="shared" si="0"/>
        <v>0.11416786043435734</v>
      </c>
      <c r="E46" s="12">
        <v>13030</v>
      </c>
      <c r="F46" s="12">
        <f t="shared" si="1"/>
        <v>0.30698388334612431</v>
      </c>
      <c r="G46" s="13">
        <v>39.700000000000003</v>
      </c>
      <c r="H46" s="12">
        <v>96658</v>
      </c>
      <c r="I46" s="13">
        <v>8.3000000000000007</v>
      </c>
      <c r="J46" s="12">
        <v>13</v>
      </c>
      <c r="K46" s="10">
        <v>40.700000000000003</v>
      </c>
      <c r="L46" s="13">
        <v>7</v>
      </c>
      <c r="M46" s="13"/>
    </row>
    <row r="47" spans="1:13" ht="16">
      <c r="A47" s="10" t="s">
        <v>55</v>
      </c>
      <c r="B47" s="10">
        <v>5</v>
      </c>
      <c r="C47" s="11">
        <v>648493</v>
      </c>
      <c r="D47" s="12">
        <f t="shared" si="0"/>
        <v>0.77101834561051541</v>
      </c>
      <c r="E47" s="12">
        <v>12700</v>
      </c>
      <c r="F47" s="12">
        <f t="shared" si="1"/>
        <v>0.39370078740157477</v>
      </c>
      <c r="G47" s="13">
        <v>69.8</v>
      </c>
      <c r="H47" s="12">
        <v>82730</v>
      </c>
      <c r="I47" s="13">
        <v>9</v>
      </c>
      <c r="J47" s="12">
        <v>-16</v>
      </c>
      <c r="K47" s="10">
        <v>20.2</v>
      </c>
      <c r="L47" s="13">
        <v>7</v>
      </c>
      <c r="M47" s="13"/>
    </row>
    <row r="48" spans="1:13" ht="16">
      <c r="A48" s="10" t="s">
        <v>56</v>
      </c>
      <c r="B48" s="10">
        <v>79</v>
      </c>
      <c r="C48" s="11">
        <v>8811195</v>
      </c>
      <c r="D48" s="12">
        <f t="shared" si="0"/>
        <v>0.89658667184190111</v>
      </c>
      <c r="E48" s="12">
        <v>165365</v>
      </c>
      <c r="F48" s="12">
        <f t="shared" si="1"/>
        <v>0.47773107973271245</v>
      </c>
      <c r="G48" s="13">
        <v>218.6</v>
      </c>
      <c r="H48" s="12">
        <v>92090</v>
      </c>
      <c r="I48" s="13">
        <v>9.6999999999999993</v>
      </c>
      <c r="J48" s="12">
        <v>-3</v>
      </c>
      <c r="K48" s="10">
        <v>60.5</v>
      </c>
      <c r="L48" s="13">
        <v>7</v>
      </c>
      <c r="M48" s="13"/>
    </row>
    <row r="49" spans="1:13" ht="16">
      <c r="A49" s="10" t="s">
        <v>57</v>
      </c>
      <c r="B49" s="10">
        <v>38</v>
      </c>
      <c r="C49" s="11">
        <v>7958180</v>
      </c>
      <c r="D49" s="12">
        <f t="shared" si="0"/>
        <v>0.47749611091983341</v>
      </c>
      <c r="E49" s="12">
        <v>88530</v>
      </c>
      <c r="F49" s="12">
        <f t="shared" si="1"/>
        <v>0.42923302835197114</v>
      </c>
      <c r="G49" s="13">
        <v>115.9</v>
      </c>
      <c r="H49" s="12">
        <v>99389</v>
      </c>
      <c r="I49" s="13">
        <v>9.9</v>
      </c>
      <c r="J49" s="12">
        <v>-8</v>
      </c>
      <c r="K49" s="10">
        <v>55.9</v>
      </c>
      <c r="L49" s="13">
        <v>7</v>
      </c>
      <c r="M49" s="13"/>
    </row>
    <row r="50" spans="1:13" ht="16">
      <c r="A50" s="10" t="s">
        <v>58</v>
      </c>
      <c r="B50" s="10">
        <v>0</v>
      </c>
      <c r="C50" s="11">
        <v>1769979</v>
      </c>
      <c r="D50" s="12">
        <f t="shared" si="0"/>
        <v>0</v>
      </c>
      <c r="E50" s="12">
        <v>2950</v>
      </c>
      <c r="F50" s="12">
        <f t="shared" si="1"/>
        <v>0</v>
      </c>
      <c r="G50" s="13">
        <v>74.599999999999994</v>
      </c>
      <c r="H50" s="12">
        <v>60798</v>
      </c>
      <c r="I50" s="13">
        <v>16.7</v>
      </c>
      <c r="J50" s="12">
        <v>22</v>
      </c>
      <c r="K50" s="10">
        <v>20.2</v>
      </c>
      <c r="L50" s="13">
        <v>4</v>
      </c>
      <c r="M50" s="13"/>
    </row>
    <row r="51" spans="1:13" ht="16">
      <c r="A51" s="10" t="s">
        <v>59</v>
      </c>
      <c r="B51" s="10">
        <v>7</v>
      </c>
      <c r="C51" s="11">
        <v>5960975</v>
      </c>
      <c r="D51" s="12">
        <f t="shared" si="0"/>
        <v>0.11743045391064381</v>
      </c>
      <c r="E51" s="12">
        <v>48515</v>
      </c>
      <c r="F51" s="12">
        <f t="shared" si="1"/>
        <v>0.1442852725961043</v>
      </c>
      <c r="G51" s="13">
        <v>108.8</v>
      </c>
      <c r="H51" s="12">
        <v>77488</v>
      </c>
      <c r="I51" s="13">
        <v>10.3</v>
      </c>
      <c r="J51" s="12">
        <v>2</v>
      </c>
      <c r="K51" s="10">
        <v>37</v>
      </c>
      <c r="L51" s="13">
        <v>5</v>
      </c>
      <c r="M51" s="13"/>
    </row>
    <row r="52" spans="1:13" ht="16">
      <c r="A52" s="10" t="s">
        <v>60</v>
      </c>
      <c r="B52" s="10">
        <v>2</v>
      </c>
      <c r="C52" s="11">
        <v>587618</v>
      </c>
      <c r="D52" s="12">
        <f t="shared" si="0"/>
        <v>0.34035717081505334</v>
      </c>
      <c r="E52" s="12">
        <v>2210</v>
      </c>
      <c r="F52" s="12">
        <f t="shared" si="1"/>
        <v>0.90497737556561086</v>
      </c>
      <c r="G52" s="13">
        <v>5.9</v>
      </c>
      <c r="H52" s="12">
        <v>75532</v>
      </c>
      <c r="I52" s="13">
        <v>10.1</v>
      </c>
      <c r="J52" s="12">
        <v>25</v>
      </c>
      <c r="K52" s="10">
        <v>32.4</v>
      </c>
      <c r="L52" s="13">
        <v>0</v>
      </c>
      <c r="M52" s="13"/>
    </row>
    <row r="53" spans="1:13" ht="16">
      <c r="A53" s="13"/>
      <c r="B53" s="13"/>
      <c r="C53" s="10"/>
      <c r="D53" s="13"/>
      <c r="E53" s="10"/>
      <c r="F53" s="10"/>
      <c r="G53" s="13"/>
      <c r="H53" s="10"/>
      <c r="I53" s="13"/>
      <c r="J53" s="10"/>
      <c r="K53" s="10"/>
      <c r="L53" s="13"/>
      <c r="M53" s="13"/>
    </row>
    <row r="54" spans="1:13" ht="16">
      <c r="A54" s="13"/>
      <c r="B54" s="13"/>
      <c r="C54" s="10"/>
      <c r="D54" s="13"/>
      <c r="E54" s="10"/>
      <c r="F54" s="10"/>
      <c r="G54" s="13"/>
      <c r="H54" s="10"/>
      <c r="I54" s="13"/>
      <c r="J54" s="10"/>
      <c r="K54" s="10"/>
      <c r="L54" s="13"/>
      <c r="M54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97CF2-6F64-6D45-A59D-DDD8CD8E44D7}">
  <dimension ref="A1:M54"/>
  <sheetViews>
    <sheetView workbookViewId="0">
      <selection activeCell="F3" sqref="F3"/>
    </sheetView>
  </sheetViews>
  <sheetFormatPr defaultColWidth="11" defaultRowHeight="16"/>
  <cols>
    <col min="1" max="1" width="15.58203125" bestFit="1" customWidth="1"/>
    <col min="7" max="7" width="9" style="4" bestFit="1" customWidth="1"/>
  </cols>
  <sheetData>
    <row r="1" spans="1:13" ht="44">
      <c r="A1" s="27" t="s">
        <v>0</v>
      </c>
      <c r="B1" s="27" t="s">
        <v>1</v>
      </c>
      <c r="C1" s="27" t="s">
        <v>2</v>
      </c>
      <c r="D1" s="27" t="s">
        <v>3</v>
      </c>
      <c r="E1" s="23" t="s">
        <v>4</v>
      </c>
      <c r="F1" s="27" t="s">
        <v>5</v>
      </c>
      <c r="G1" s="22" t="s">
        <v>6</v>
      </c>
      <c r="H1" s="27" t="s">
        <v>7</v>
      </c>
      <c r="I1" s="27" t="s">
        <v>8</v>
      </c>
      <c r="J1" s="26" t="s">
        <v>9</v>
      </c>
      <c r="K1" s="27" t="s">
        <v>63</v>
      </c>
      <c r="L1" s="27" t="s">
        <v>64</v>
      </c>
      <c r="M1" s="27" t="s">
        <v>65</v>
      </c>
    </row>
    <row r="2" spans="1:13">
      <c r="A2" s="15" t="s">
        <v>10</v>
      </c>
      <c r="B2" s="15">
        <v>26</v>
      </c>
      <c r="C2" s="15">
        <v>5157699</v>
      </c>
      <c r="D2" s="15">
        <v>0.50410100000000002</v>
      </c>
      <c r="E2" s="25">
        <v>99.2</v>
      </c>
      <c r="F2" s="15">
        <v>66659</v>
      </c>
      <c r="G2" s="31">
        <v>15.2</v>
      </c>
      <c r="H2" s="15">
        <v>15</v>
      </c>
      <c r="I2" s="15">
        <v>53.1</v>
      </c>
      <c r="J2" s="24">
        <v>4</v>
      </c>
      <c r="K2" s="15">
        <v>1</v>
      </c>
      <c r="L2" s="15">
        <v>4</v>
      </c>
      <c r="M2" s="15">
        <v>2</v>
      </c>
    </row>
    <row r="3" spans="1:13">
      <c r="A3" s="15" t="s">
        <v>11</v>
      </c>
      <c r="B3" s="15">
        <v>17</v>
      </c>
      <c r="C3" s="15">
        <v>740133</v>
      </c>
      <c r="D3" s="15">
        <v>2.2968839999999999</v>
      </c>
      <c r="E3" s="28">
        <v>1.3</v>
      </c>
      <c r="F3" s="15">
        <v>95665</v>
      </c>
      <c r="G3" s="28">
        <v>10.199999999999999</v>
      </c>
      <c r="H3" s="15">
        <v>8</v>
      </c>
      <c r="I3" s="15">
        <v>62.8</v>
      </c>
      <c r="J3" s="28">
        <v>5</v>
      </c>
      <c r="K3" s="15">
        <v>3</v>
      </c>
      <c r="L3" s="15">
        <v>7</v>
      </c>
      <c r="M3" s="15">
        <v>2</v>
      </c>
    </row>
    <row r="4" spans="1:13">
      <c r="A4" s="15" t="s">
        <v>12</v>
      </c>
      <c r="B4" s="15">
        <v>48</v>
      </c>
      <c r="C4" s="15">
        <v>7582384</v>
      </c>
      <c r="D4" s="15">
        <v>0.633046</v>
      </c>
      <c r="E4" s="28">
        <v>62.9</v>
      </c>
      <c r="F4" s="15">
        <v>81486</v>
      </c>
      <c r="G4" s="28">
        <v>11.7</v>
      </c>
      <c r="H4" s="15">
        <v>2</v>
      </c>
      <c r="I4" s="15">
        <v>61.5</v>
      </c>
      <c r="J4" s="28">
        <v>6</v>
      </c>
      <c r="K4" s="15">
        <v>1</v>
      </c>
      <c r="L4" s="15">
        <v>11</v>
      </c>
      <c r="M4" s="15">
        <v>3</v>
      </c>
    </row>
    <row r="5" spans="1:13">
      <c r="A5" s="15" t="s">
        <v>13</v>
      </c>
      <c r="B5" s="15">
        <v>3</v>
      </c>
      <c r="C5" s="15">
        <v>3088354</v>
      </c>
      <c r="D5" s="15">
        <v>9.7139000000000003E-2</v>
      </c>
      <c r="E5" s="28">
        <v>57.9</v>
      </c>
      <c r="F5" s="15">
        <v>62106</v>
      </c>
      <c r="G5" s="28">
        <v>15.5</v>
      </c>
      <c r="H5" s="15">
        <v>16</v>
      </c>
      <c r="I5" s="15">
        <v>49.8</v>
      </c>
      <c r="J5" s="28">
        <v>1</v>
      </c>
      <c r="K5" s="15">
        <v>1</v>
      </c>
      <c r="L5" s="15">
        <v>0</v>
      </c>
      <c r="M5" s="15">
        <v>1</v>
      </c>
    </row>
    <row r="6" spans="1:13">
      <c r="A6" s="15" t="s">
        <v>14</v>
      </c>
      <c r="B6" s="15">
        <v>560</v>
      </c>
      <c r="C6" s="15">
        <v>39431263</v>
      </c>
      <c r="D6" s="15">
        <v>1.420193</v>
      </c>
      <c r="E6" s="28">
        <v>253.7</v>
      </c>
      <c r="F6" s="15">
        <v>100149</v>
      </c>
      <c r="G6" s="28">
        <v>11.8</v>
      </c>
      <c r="H6" s="15">
        <v>-13</v>
      </c>
      <c r="I6" s="15">
        <v>69.7</v>
      </c>
      <c r="J6" s="28">
        <v>6</v>
      </c>
      <c r="K6" s="15">
        <v>4</v>
      </c>
      <c r="L6" s="15">
        <v>0</v>
      </c>
      <c r="M6" s="15">
        <v>4</v>
      </c>
    </row>
    <row r="7" spans="1:13">
      <c r="A7" s="15" t="s">
        <v>15</v>
      </c>
      <c r="B7" s="15">
        <v>73</v>
      </c>
      <c r="C7" s="15">
        <v>5957493</v>
      </c>
      <c r="D7" s="15">
        <v>1.2253480000000001</v>
      </c>
      <c r="E7" s="28">
        <v>55.7</v>
      </c>
      <c r="F7" s="15">
        <v>97113</v>
      </c>
      <c r="G7" s="28">
        <v>9.6</v>
      </c>
      <c r="H7" s="15">
        <v>-4</v>
      </c>
      <c r="I7" s="15">
        <v>52.3</v>
      </c>
      <c r="J7" s="28">
        <v>5</v>
      </c>
      <c r="K7" s="15">
        <v>4</v>
      </c>
      <c r="L7" s="15">
        <v>0</v>
      </c>
      <c r="M7" s="15">
        <v>4</v>
      </c>
    </row>
    <row r="8" spans="1:13">
      <c r="A8" s="15" t="s">
        <v>16</v>
      </c>
      <c r="B8" s="15">
        <v>15</v>
      </c>
      <c r="C8" s="15">
        <v>3675069</v>
      </c>
      <c r="D8" s="15">
        <v>0.40815600000000002</v>
      </c>
      <c r="E8" s="28">
        <v>744.7</v>
      </c>
      <c r="F8" s="15">
        <v>96049</v>
      </c>
      <c r="G8" s="28">
        <v>10.199999999999999</v>
      </c>
      <c r="H8" s="15">
        <v>-7</v>
      </c>
      <c r="I8" s="15">
        <v>55.7</v>
      </c>
      <c r="J8" s="28">
        <v>7</v>
      </c>
      <c r="K8" s="15">
        <v>4</v>
      </c>
      <c r="L8" s="15">
        <v>0</v>
      </c>
      <c r="M8" s="15">
        <v>4</v>
      </c>
    </row>
    <row r="9" spans="1:13">
      <c r="A9" s="15" t="s">
        <v>17</v>
      </c>
      <c r="B9" s="15">
        <v>1</v>
      </c>
      <c r="C9" s="15">
        <v>1051917</v>
      </c>
      <c r="D9" s="15">
        <v>9.5064999999999997E-2</v>
      </c>
      <c r="E9" s="28">
        <v>508</v>
      </c>
      <c r="F9" s="15">
        <v>87534</v>
      </c>
      <c r="G9" s="28">
        <v>9.6</v>
      </c>
      <c r="H9" s="15">
        <v>-7</v>
      </c>
      <c r="I9" s="15">
        <v>59.6</v>
      </c>
      <c r="J9" s="28">
        <v>7</v>
      </c>
      <c r="K9" s="15">
        <v>4</v>
      </c>
      <c r="L9" s="15">
        <v>2</v>
      </c>
      <c r="M9" s="15">
        <v>4</v>
      </c>
    </row>
    <row r="10" spans="1:13">
      <c r="A10" s="15" t="s">
        <v>18</v>
      </c>
      <c r="B10" s="15">
        <v>53</v>
      </c>
      <c r="C10" s="15">
        <v>702250</v>
      </c>
      <c r="D10" s="15">
        <v>7.5471700000000004</v>
      </c>
      <c r="E10" s="29">
        <v>11280</v>
      </c>
      <c r="F10" s="15">
        <v>109707</v>
      </c>
      <c r="G10" s="28">
        <v>17.3</v>
      </c>
      <c r="H10" s="15">
        <v>0</v>
      </c>
      <c r="I10" s="15">
        <v>67.2</v>
      </c>
      <c r="J10" s="28">
        <v>7</v>
      </c>
      <c r="K10" s="15">
        <v>4</v>
      </c>
      <c r="L10" s="15">
        <v>0</v>
      </c>
      <c r="M10" s="15">
        <v>4</v>
      </c>
    </row>
    <row r="11" spans="1:13">
      <c r="A11" s="15" t="s">
        <v>19</v>
      </c>
      <c r="B11" s="15">
        <v>35</v>
      </c>
      <c r="C11" s="15">
        <v>23372215</v>
      </c>
      <c r="D11" s="15">
        <v>0.14974999999999999</v>
      </c>
      <c r="E11" s="28">
        <v>401.4</v>
      </c>
      <c r="F11" s="15">
        <v>77735</v>
      </c>
      <c r="G11" s="28">
        <v>12</v>
      </c>
      <c r="H11" s="15">
        <v>3</v>
      </c>
      <c r="I11" s="15">
        <v>64.099999999999994</v>
      </c>
      <c r="J11" s="28">
        <v>5</v>
      </c>
      <c r="K11" s="15">
        <v>1</v>
      </c>
      <c r="L11" s="15">
        <v>14</v>
      </c>
      <c r="M11" s="15">
        <v>3</v>
      </c>
    </row>
    <row r="12" spans="1:13">
      <c r="A12" s="15" t="s">
        <v>20</v>
      </c>
      <c r="B12" s="15">
        <v>25</v>
      </c>
      <c r="C12" s="15">
        <v>11180878</v>
      </c>
      <c r="D12" s="15">
        <v>0.22359599999999999</v>
      </c>
      <c r="E12" s="28">
        <v>185.6</v>
      </c>
      <c r="F12" s="15">
        <v>79991</v>
      </c>
      <c r="G12" s="28">
        <v>12.6</v>
      </c>
      <c r="H12" s="15">
        <v>3</v>
      </c>
      <c r="I12" s="15">
        <v>64.099999999999994</v>
      </c>
      <c r="J12" s="28">
        <v>7</v>
      </c>
      <c r="K12" s="15">
        <v>1</v>
      </c>
      <c r="L12" s="15">
        <v>14</v>
      </c>
      <c r="M12" s="15">
        <v>4</v>
      </c>
    </row>
    <row r="13" spans="1:13">
      <c r="A13" s="15" t="s">
        <v>21</v>
      </c>
      <c r="B13" s="15">
        <v>7</v>
      </c>
      <c r="C13" s="15">
        <v>1446146</v>
      </c>
      <c r="D13" s="15">
        <v>0.484045</v>
      </c>
      <c r="E13" s="28">
        <v>226.6</v>
      </c>
      <c r="F13" s="15">
        <v>100745</v>
      </c>
      <c r="G13" s="28">
        <v>10</v>
      </c>
      <c r="H13" s="15">
        <v>-14</v>
      </c>
      <c r="I13" s="15">
        <v>76</v>
      </c>
      <c r="J13" s="28">
        <v>7</v>
      </c>
      <c r="K13" s="15">
        <v>4</v>
      </c>
      <c r="L13" s="15">
        <v>10</v>
      </c>
      <c r="M13" s="15">
        <v>4</v>
      </c>
    </row>
    <row r="14" spans="1:13">
      <c r="A14" s="15" t="s">
        <v>22</v>
      </c>
      <c r="B14" s="15">
        <v>17</v>
      </c>
      <c r="C14" s="15">
        <v>2001619</v>
      </c>
      <c r="D14" s="15">
        <v>0.84931199999999996</v>
      </c>
      <c r="E14" s="28">
        <v>22.3</v>
      </c>
      <c r="F14" s="15">
        <v>81166</v>
      </c>
      <c r="G14" s="28">
        <v>10.5</v>
      </c>
      <c r="H14" s="15">
        <v>18</v>
      </c>
      <c r="I14" s="15">
        <v>35.9</v>
      </c>
      <c r="J14" s="28">
        <v>3</v>
      </c>
      <c r="K14" s="15">
        <v>1</v>
      </c>
      <c r="L14" s="15">
        <v>14</v>
      </c>
      <c r="M14" s="15">
        <v>2</v>
      </c>
    </row>
    <row r="15" spans="1:13">
      <c r="A15" s="15" t="s">
        <v>23</v>
      </c>
      <c r="B15" s="15">
        <v>93</v>
      </c>
      <c r="C15" s="15">
        <v>12710158</v>
      </c>
      <c r="D15" s="15">
        <v>0.73169799999999996</v>
      </c>
      <c r="E15" s="28">
        <v>230.8</v>
      </c>
      <c r="F15" s="15">
        <v>83211</v>
      </c>
      <c r="G15" s="28">
        <v>11.6</v>
      </c>
      <c r="H15" s="15">
        <v>-7</v>
      </c>
      <c r="I15" s="15">
        <v>60.3</v>
      </c>
      <c r="J15" s="28">
        <v>6</v>
      </c>
      <c r="K15" s="15">
        <v>4</v>
      </c>
      <c r="L15" s="15">
        <v>6</v>
      </c>
      <c r="M15" s="15">
        <v>4</v>
      </c>
    </row>
    <row r="16" spans="1:13">
      <c r="A16" s="15" t="s">
        <v>24</v>
      </c>
      <c r="B16" s="15">
        <v>31</v>
      </c>
      <c r="C16" s="15">
        <v>6924275</v>
      </c>
      <c r="D16" s="15">
        <v>0.44769999999999999</v>
      </c>
      <c r="E16" s="28">
        <v>189.4</v>
      </c>
      <c r="F16" s="15">
        <v>71959</v>
      </c>
      <c r="G16" s="28">
        <v>12.2</v>
      </c>
      <c r="H16" s="15">
        <v>11</v>
      </c>
      <c r="I16" s="15">
        <v>41.3</v>
      </c>
      <c r="J16" s="28">
        <v>5</v>
      </c>
      <c r="K16" s="15">
        <v>1</v>
      </c>
      <c r="L16" s="15">
        <v>5</v>
      </c>
      <c r="M16" s="15">
        <v>1</v>
      </c>
    </row>
    <row r="17" spans="1:13">
      <c r="A17" s="15" t="s">
        <v>25</v>
      </c>
      <c r="B17" s="15">
        <v>19</v>
      </c>
      <c r="C17" s="15">
        <v>3241488</v>
      </c>
      <c r="D17" s="15">
        <v>0.58615099999999998</v>
      </c>
      <c r="E17" s="28">
        <v>57.1</v>
      </c>
      <c r="F17" s="15">
        <v>75501</v>
      </c>
      <c r="G17" s="28">
        <v>11.3</v>
      </c>
      <c r="H17" s="15">
        <v>6</v>
      </c>
      <c r="I17" s="15">
        <v>30.8</v>
      </c>
      <c r="J17" s="28">
        <v>6</v>
      </c>
      <c r="K17" s="15">
        <v>3</v>
      </c>
      <c r="L17" s="15">
        <v>37</v>
      </c>
      <c r="M17" s="15">
        <v>3</v>
      </c>
    </row>
    <row r="18" spans="1:13">
      <c r="A18" s="15" t="s">
        <v>26</v>
      </c>
      <c r="B18" s="15">
        <v>25</v>
      </c>
      <c r="C18" s="15">
        <v>2970606</v>
      </c>
      <c r="D18" s="15">
        <v>0.84157899999999997</v>
      </c>
      <c r="E18" s="28">
        <v>35.9</v>
      </c>
      <c r="F18" s="15">
        <v>75514</v>
      </c>
      <c r="G18" s="28">
        <v>10.9</v>
      </c>
      <c r="H18" s="15">
        <v>10</v>
      </c>
      <c r="I18" s="15">
        <v>45.4</v>
      </c>
      <c r="J18" s="28">
        <v>5</v>
      </c>
      <c r="K18" s="15">
        <v>1</v>
      </c>
      <c r="L18" s="15">
        <v>16</v>
      </c>
      <c r="M18" s="15">
        <v>3</v>
      </c>
    </row>
    <row r="19" spans="1:13">
      <c r="A19" s="15" t="s">
        <v>27</v>
      </c>
      <c r="B19" s="15">
        <v>19</v>
      </c>
      <c r="C19" s="15">
        <v>4588372</v>
      </c>
      <c r="D19" s="15">
        <v>0.41409000000000001</v>
      </c>
      <c r="E19" s="28">
        <v>114.1</v>
      </c>
      <c r="F19" s="15">
        <v>64526</v>
      </c>
      <c r="G19" s="28">
        <v>15.6</v>
      </c>
      <c r="H19" s="15">
        <v>16</v>
      </c>
      <c r="I19" s="15">
        <v>32.799999999999997</v>
      </c>
      <c r="J19" s="28">
        <v>4</v>
      </c>
      <c r="K19" s="15">
        <v>1</v>
      </c>
      <c r="L19" s="15">
        <v>14</v>
      </c>
      <c r="M19" s="15">
        <v>3</v>
      </c>
    </row>
    <row r="20" spans="1:13">
      <c r="A20" s="15" t="s">
        <v>28</v>
      </c>
      <c r="B20" s="15">
        <v>9</v>
      </c>
      <c r="C20" s="15">
        <v>4597740</v>
      </c>
      <c r="D20" s="15">
        <v>0.19574800000000001</v>
      </c>
      <c r="E20" s="28">
        <v>107.8</v>
      </c>
      <c r="F20" s="15">
        <v>60986</v>
      </c>
      <c r="G20" s="28">
        <v>18.7</v>
      </c>
      <c r="H20" s="15">
        <v>12</v>
      </c>
      <c r="I20" s="15">
        <v>58.6</v>
      </c>
      <c r="J20" s="28">
        <v>6</v>
      </c>
      <c r="K20" s="15">
        <v>1</v>
      </c>
      <c r="L20" s="15">
        <v>3</v>
      </c>
      <c r="M20" s="15">
        <v>3</v>
      </c>
    </row>
    <row r="21" spans="1:13">
      <c r="A21" s="15" t="s">
        <v>29</v>
      </c>
      <c r="B21" s="15">
        <v>15</v>
      </c>
      <c r="C21" s="15">
        <v>1405012</v>
      </c>
      <c r="D21" s="15">
        <v>1.067607</v>
      </c>
      <c r="E21" s="28">
        <v>44.2</v>
      </c>
      <c r="F21" s="15">
        <v>76442</v>
      </c>
      <c r="G21" s="28">
        <v>10.6</v>
      </c>
      <c r="H21" s="15">
        <v>-2</v>
      </c>
      <c r="I21" s="15">
        <v>18.5</v>
      </c>
      <c r="J21" s="28">
        <v>5</v>
      </c>
      <c r="K21" s="15">
        <v>4</v>
      </c>
      <c r="L21" s="15">
        <v>2</v>
      </c>
      <c r="M21" s="15">
        <v>4</v>
      </c>
    </row>
    <row r="22" spans="1:13">
      <c r="A22" s="15" t="s">
        <v>30</v>
      </c>
      <c r="B22" s="15">
        <v>60</v>
      </c>
      <c r="C22" s="15">
        <v>6263220</v>
      </c>
      <c r="D22" s="15">
        <v>0.95797399999999999</v>
      </c>
      <c r="E22" s="28">
        <v>636.1</v>
      </c>
      <c r="F22" s="15">
        <v>102905</v>
      </c>
      <c r="G22" s="28">
        <v>9.1</v>
      </c>
      <c r="H22" s="15">
        <v>-14</v>
      </c>
      <c r="I22" s="15">
        <v>67.3</v>
      </c>
      <c r="J22" s="28">
        <v>6</v>
      </c>
      <c r="K22" s="15">
        <v>4</v>
      </c>
      <c r="L22" s="15">
        <v>2</v>
      </c>
      <c r="M22" s="15">
        <v>4</v>
      </c>
    </row>
    <row r="23" spans="1:13">
      <c r="A23" s="15" t="s">
        <v>31</v>
      </c>
      <c r="B23" s="15">
        <v>96</v>
      </c>
      <c r="C23" s="15">
        <v>7136171</v>
      </c>
      <c r="D23" s="15">
        <v>1.345259</v>
      </c>
      <c r="E23" s="28">
        <v>901.2</v>
      </c>
      <c r="F23" s="15">
        <v>104828</v>
      </c>
      <c r="G23" s="28">
        <v>9.6999999999999993</v>
      </c>
      <c r="H23" s="15">
        <v>-15</v>
      </c>
      <c r="I23" s="15">
        <v>51.6</v>
      </c>
      <c r="J23" s="28">
        <v>7</v>
      </c>
      <c r="K23" s="15">
        <v>4</v>
      </c>
      <c r="L23" s="15">
        <v>2</v>
      </c>
      <c r="M23" s="15">
        <v>4</v>
      </c>
    </row>
    <row r="24" spans="1:13">
      <c r="A24" s="15" t="s">
        <v>32</v>
      </c>
      <c r="B24" s="15">
        <v>68</v>
      </c>
      <c r="C24" s="15">
        <v>10140459</v>
      </c>
      <c r="D24" s="15">
        <v>0.67058099999999998</v>
      </c>
      <c r="E24" s="28">
        <v>178</v>
      </c>
      <c r="F24" s="15">
        <v>72389</v>
      </c>
      <c r="G24" s="28">
        <v>13.4</v>
      </c>
      <c r="H24" s="15">
        <v>1</v>
      </c>
      <c r="I24" s="15">
        <v>45.2</v>
      </c>
      <c r="J24" s="28">
        <v>4</v>
      </c>
      <c r="K24" s="15">
        <v>4</v>
      </c>
      <c r="L24" s="15">
        <v>10</v>
      </c>
      <c r="M24" s="15">
        <v>4</v>
      </c>
    </row>
    <row r="25" spans="1:13">
      <c r="A25" s="15" t="s">
        <v>33</v>
      </c>
      <c r="B25" s="15">
        <v>66</v>
      </c>
      <c r="C25" s="15">
        <v>5793151</v>
      </c>
      <c r="D25" s="15">
        <v>1.139276</v>
      </c>
      <c r="E25" s="28">
        <v>71.7</v>
      </c>
      <c r="F25" s="15">
        <v>87117</v>
      </c>
      <c r="G25" s="28">
        <v>9.3000000000000007</v>
      </c>
      <c r="H25" s="15">
        <v>-1</v>
      </c>
      <c r="I25" s="15">
        <v>40.5</v>
      </c>
      <c r="J25" s="28">
        <v>6</v>
      </c>
      <c r="K25" s="15">
        <v>4</v>
      </c>
      <c r="L25" s="15">
        <v>18</v>
      </c>
      <c r="M25" s="15">
        <v>4</v>
      </c>
    </row>
    <row r="26" spans="1:13">
      <c r="A26" s="15" t="s">
        <v>34</v>
      </c>
      <c r="B26" s="15">
        <v>0</v>
      </c>
      <c r="C26" s="15">
        <v>2943045</v>
      </c>
      <c r="D26" s="15">
        <v>0</v>
      </c>
      <c r="E26" s="28">
        <v>63.1</v>
      </c>
      <c r="F26" s="15">
        <v>59127</v>
      </c>
      <c r="G26" s="28">
        <v>17.8</v>
      </c>
      <c r="H26" s="15">
        <v>11</v>
      </c>
      <c r="I26" s="15">
        <v>55.9</v>
      </c>
      <c r="J26" s="28">
        <v>4</v>
      </c>
      <c r="K26" s="15">
        <v>1</v>
      </c>
      <c r="L26" s="15">
        <v>23</v>
      </c>
      <c r="M26" s="15">
        <v>2</v>
      </c>
    </row>
    <row r="27" spans="1:13">
      <c r="A27" s="15" t="s">
        <v>35</v>
      </c>
      <c r="B27" s="15">
        <v>43</v>
      </c>
      <c r="C27" s="15">
        <v>6245466</v>
      </c>
      <c r="D27" s="15">
        <v>0.68849899999999997</v>
      </c>
      <c r="E27" s="28">
        <v>89.5</v>
      </c>
      <c r="F27" s="15">
        <v>71589</v>
      </c>
      <c r="G27" s="28">
        <v>12.3</v>
      </c>
      <c r="H27" s="15">
        <v>10</v>
      </c>
      <c r="I27" s="15">
        <v>40.799999999999997</v>
      </c>
      <c r="J27" s="28">
        <v>6</v>
      </c>
      <c r="K27" s="15">
        <v>1</v>
      </c>
      <c r="L27" s="15">
        <v>40</v>
      </c>
      <c r="M27" s="15">
        <v>4</v>
      </c>
    </row>
    <row r="28" spans="1:13">
      <c r="A28" s="15" t="s">
        <v>36</v>
      </c>
      <c r="B28" s="15">
        <v>3</v>
      </c>
      <c r="C28" s="15">
        <v>1137233</v>
      </c>
      <c r="D28" s="15">
        <v>0.26379799999999998</v>
      </c>
      <c r="E28" s="28">
        <v>7.4</v>
      </c>
      <c r="F28" s="15">
        <v>75340</v>
      </c>
      <c r="G28" s="28">
        <v>10.199999999999999</v>
      </c>
      <c r="H28" s="15">
        <v>11</v>
      </c>
      <c r="I28" s="15">
        <v>30.1</v>
      </c>
      <c r="J28" s="28">
        <v>3</v>
      </c>
      <c r="K28" s="15">
        <v>1</v>
      </c>
      <c r="L28" s="15">
        <v>0</v>
      </c>
      <c r="M28" s="15">
        <v>2</v>
      </c>
    </row>
    <row r="29" spans="1:13">
      <c r="A29" s="15" t="s">
        <v>37</v>
      </c>
      <c r="B29" s="15">
        <v>11</v>
      </c>
      <c r="C29" s="15">
        <v>2005465</v>
      </c>
      <c r="D29" s="15">
        <v>0.54850100000000002</v>
      </c>
      <c r="E29" s="28">
        <v>25.5</v>
      </c>
      <c r="F29" s="15">
        <v>76376</v>
      </c>
      <c r="G29" s="28">
        <v>10.9</v>
      </c>
      <c r="H29" s="15">
        <v>13</v>
      </c>
      <c r="I29" s="15">
        <v>40.799999999999997</v>
      </c>
      <c r="J29" s="28">
        <v>6</v>
      </c>
      <c r="K29" s="15">
        <v>1</v>
      </c>
      <c r="L29" s="15">
        <v>4</v>
      </c>
      <c r="M29" s="15">
        <v>3</v>
      </c>
    </row>
    <row r="30" spans="1:13">
      <c r="A30" s="15" t="s">
        <v>38</v>
      </c>
      <c r="B30" s="15">
        <v>17</v>
      </c>
      <c r="C30" s="15">
        <v>3267467</v>
      </c>
      <c r="D30" s="15">
        <v>0.52028099999999999</v>
      </c>
      <c r="E30" s="28">
        <v>28.3</v>
      </c>
      <c r="F30" s="15">
        <v>81134</v>
      </c>
      <c r="G30" s="28">
        <v>11.6</v>
      </c>
      <c r="H30" s="15">
        <v>1</v>
      </c>
      <c r="I30" s="15">
        <v>68.8</v>
      </c>
      <c r="J30" s="28">
        <v>7</v>
      </c>
      <c r="K30" s="15">
        <v>4</v>
      </c>
      <c r="L30" s="15">
        <v>0</v>
      </c>
      <c r="M30" s="15">
        <v>4</v>
      </c>
    </row>
    <row r="31" spans="1:13">
      <c r="A31" s="15" t="s">
        <v>39</v>
      </c>
      <c r="B31" s="15">
        <v>7</v>
      </c>
      <c r="C31" s="15">
        <v>1409032</v>
      </c>
      <c r="D31" s="15">
        <v>0.49679499999999999</v>
      </c>
      <c r="E31" s="28">
        <v>153.80000000000001</v>
      </c>
      <c r="F31" s="15">
        <v>99782</v>
      </c>
      <c r="G31" s="28">
        <v>7.2</v>
      </c>
      <c r="H31" s="15">
        <v>-1</v>
      </c>
      <c r="I31" s="15">
        <v>23.6</v>
      </c>
      <c r="J31" s="28">
        <v>7</v>
      </c>
      <c r="K31" s="15">
        <v>4</v>
      </c>
      <c r="L31" s="15">
        <v>16</v>
      </c>
      <c r="M31" s="15">
        <v>4</v>
      </c>
    </row>
    <row r="32" spans="1:13">
      <c r="A32" s="15" t="s">
        <v>40</v>
      </c>
      <c r="B32" s="15">
        <v>199</v>
      </c>
      <c r="C32" s="15">
        <v>9500851</v>
      </c>
      <c r="D32" s="15">
        <v>2.0945490000000002</v>
      </c>
      <c r="E32" s="29">
        <v>1263</v>
      </c>
      <c r="F32" s="15">
        <v>104294</v>
      </c>
      <c r="G32" s="28">
        <v>9.1999999999999993</v>
      </c>
      <c r="H32" s="15">
        <v>-6</v>
      </c>
      <c r="I32" s="15">
        <v>65.8</v>
      </c>
      <c r="J32" s="28">
        <v>7</v>
      </c>
      <c r="K32" s="15">
        <v>4</v>
      </c>
      <c r="L32" s="15">
        <v>9</v>
      </c>
      <c r="M32" s="15">
        <v>4</v>
      </c>
    </row>
    <row r="33" spans="1:13">
      <c r="A33" s="15" t="s">
        <v>41</v>
      </c>
      <c r="B33" s="15">
        <v>11</v>
      </c>
      <c r="C33" s="15">
        <v>2130256</v>
      </c>
      <c r="D33" s="15">
        <v>0.51637</v>
      </c>
      <c r="E33" s="28">
        <v>17.5</v>
      </c>
      <c r="F33" s="15">
        <v>67816</v>
      </c>
      <c r="G33" s="28">
        <v>16.399999999999999</v>
      </c>
      <c r="H33" s="15">
        <v>-3</v>
      </c>
      <c r="I33" s="15">
        <v>63</v>
      </c>
      <c r="J33" s="28">
        <v>7</v>
      </c>
      <c r="K33" s="15">
        <v>4</v>
      </c>
      <c r="L33" s="15">
        <v>2</v>
      </c>
      <c r="M33" s="15">
        <v>4</v>
      </c>
    </row>
    <row r="34" spans="1:13">
      <c r="A34" s="15" t="s">
        <v>42</v>
      </c>
      <c r="B34" s="15">
        <v>132</v>
      </c>
      <c r="C34" s="15">
        <v>19867248</v>
      </c>
      <c r="D34" s="15">
        <v>0.66440999999999995</v>
      </c>
      <c r="E34" s="28">
        <v>428.7</v>
      </c>
      <c r="F34" s="15">
        <v>85820</v>
      </c>
      <c r="G34" s="28">
        <v>14</v>
      </c>
      <c r="H34" s="15">
        <v>-10</v>
      </c>
      <c r="I34" s="15">
        <v>65.8</v>
      </c>
      <c r="J34" s="28">
        <v>7</v>
      </c>
      <c r="K34" s="15">
        <v>4</v>
      </c>
      <c r="L34" s="15">
        <v>0</v>
      </c>
      <c r="M34" s="15">
        <v>4</v>
      </c>
    </row>
    <row r="35" spans="1:13">
      <c r="A35" s="15" t="s">
        <v>43</v>
      </c>
      <c r="B35" s="15">
        <v>42</v>
      </c>
      <c r="C35" s="15">
        <v>11046024</v>
      </c>
      <c r="D35" s="15">
        <v>0.38022699999999998</v>
      </c>
      <c r="E35" s="28">
        <v>214.7</v>
      </c>
      <c r="F35" s="15">
        <v>73958</v>
      </c>
      <c r="G35" s="28">
        <v>12.5</v>
      </c>
      <c r="H35" s="15">
        <v>3</v>
      </c>
      <c r="I35" s="15">
        <v>57.9</v>
      </c>
      <c r="J35" s="28">
        <v>4</v>
      </c>
      <c r="K35" s="15">
        <v>1</v>
      </c>
      <c r="L35" s="15">
        <v>6</v>
      </c>
      <c r="M35" s="15">
        <v>2</v>
      </c>
    </row>
    <row r="36" spans="1:13">
      <c r="A36" s="15" t="s">
        <v>44</v>
      </c>
      <c r="B36" s="15">
        <v>2</v>
      </c>
      <c r="C36" s="15">
        <v>796568</v>
      </c>
      <c r="D36" s="15">
        <v>0.25107699999999999</v>
      </c>
      <c r="E36" s="28">
        <v>11.3</v>
      </c>
      <c r="F36" s="15">
        <v>77871</v>
      </c>
      <c r="G36" s="28">
        <v>11.1</v>
      </c>
      <c r="H36" s="15">
        <v>20</v>
      </c>
      <c r="I36" s="15">
        <v>32.6</v>
      </c>
      <c r="J36" s="28">
        <v>4</v>
      </c>
      <c r="K36" s="15">
        <v>1</v>
      </c>
      <c r="L36" s="15">
        <v>0</v>
      </c>
      <c r="M36" s="15">
        <v>2</v>
      </c>
    </row>
    <row r="37" spans="1:13">
      <c r="A37" s="15" t="s">
        <v>45</v>
      </c>
      <c r="B37" s="15">
        <v>85</v>
      </c>
      <c r="C37" s="15">
        <v>11883304</v>
      </c>
      <c r="D37" s="15">
        <v>0.71528899999999995</v>
      </c>
      <c r="E37" s="28">
        <v>288.8</v>
      </c>
      <c r="F37" s="15">
        <v>72212</v>
      </c>
      <c r="G37" s="28">
        <v>12.7</v>
      </c>
      <c r="H37" s="15">
        <v>6</v>
      </c>
      <c r="I37" s="15">
        <v>40.4</v>
      </c>
      <c r="J37" s="28">
        <v>4</v>
      </c>
      <c r="K37" s="15">
        <v>1</v>
      </c>
      <c r="L37" s="15">
        <v>8</v>
      </c>
      <c r="M37" s="15">
        <v>2</v>
      </c>
    </row>
    <row r="38" spans="1:13">
      <c r="A38" s="15" t="s">
        <v>46</v>
      </c>
      <c r="B38" s="15">
        <v>16</v>
      </c>
      <c r="C38" s="15">
        <v>4095393</v>
      </c>
      <c r="D38" s="15">
        <v>0.390683</v>
      </c>
      <c r="E38" s="28">
        <v>57.7</v>
      </c>
      <c r="F38" s="15">
        <v>66148</v>
      </c>
      <c r="G38" s="28">
        <v>14.9</v>
      </c>
      <c r="H38" s="15">
        <v>20</v>
      </c>
      <c r="I38" s="15">
        <v>59.5</v>
      </c>
      <c r="J38" s="28">
        <v>4</v>
      </c>
      <c r="K38" s="15">
        <v>1</v>
      </c>
      <c r="L38" s="15">
        <v>55</v>
      </c>
      <c r="M38" s="15">
        <v>2</v>
      </c>
    </row>
    <row r="39" spans="1:13">
      <c r="A39" s="15" t="s">
        <v>47</v>
      </c>
      <c r="B39" s="15">
        <v>99</v>
      </c>
      <c r="C39" s="15">
        <v>4272371</v>
      </c>
      <c r="D39" s="15">
        <v>2.3172139999999999</v>
      </c>
      <c r="E39" s="28">
        <v>44.1</v>
      </c>
      <c r="F39" s="15">
        <v>85220</v>
      </c>
      <c r="G39" s="28">
        <v>11.8</v>
      </c>
      <c r="H39" s="15">
        <v>-6</v>
      </c>
      <c r="I39" s="15">
        <v>46.1</v>
      </c>
      <c r="J39" s="28">
        <v>7</v>
      </c>
      <c r="K39" s="15">
        <v>4</v>
      </c>
      <c r="L39" s="15">
        <v>3</v>
      </c>
      <c r="M39" s="15">
        <v>4</v>
      </c>
    </row>
    <row r="40" spans="1:13">
      <c r="A40" s="15" t="s">
        <v>48</v>
      </c>
      <c r="B40" s="15">
        <v>45</v>
      </c>
      <c r="C40" s="15">
        <v>13078751</v>
      </c>
      <c r="D40" s="15">
        <v>0.34406999999999999</v>
      </c>
      <c r="E40" s="28">
        <v>290.60000000000002</v>
      </c>
      <c r="F40" s="15">
        <v>77545</v>
      </c>
      <c r="G40" s="28">
        <v>11.6</v>
      </c>
      <c r="H40" s="15">
        <v>2</v>
      </c>
      <c r="I40" s="15">
        <v>44</v>
      </c>
      <c r="J40" s="28">
        <v>3</v>
      </c>
      <c r="K40" s="15">
        <v>3</v>
      </c>
      <c r="L40" s="15">
        <v>6</v>
      </c>
      <c r="M40" s="15">
        <v>2</v>
      </c>
    </row>
    <row r="41" spans="1:13">
      <c r="A41" s="15" t="s">
        <v>49</v>
      </c>
      <c r="B41" s="15">
        <v>6</v>
      </c>
      <c r="C41" s="15">
        <v>1112308</v>
      </c>
      <c r="D41" s="15">
        <v>0.53941899999999998</v>
      </c>
      <c r="E41" s="29">
        <v>1061.4000000000001</v>
      </c>
      <c r="F41" s="15">
        <v>83504</v>
      </c>
      <c r="G41" s="28">
        <v>12.2</v>
      </c>
      <c r="H41" s="15">
        <v>-8</v>
      </c>
      <c r="I41" s="15">
        <v>49.4</v>
      </c>
      <c r="J41" s="28">
        <v>6</v>
      </c>
      <c r="K41" s="15">
        <v>4</v>
      </c>
      <c r="L41" s="15">
        <v>6</v>
      </c>
      <c r="M41" s="15">
        <v>3</v>
      </c>
    </row>
    <row r="42" spans="1:13">
      <c r="A42" s="15" t="s">
        <v>50</v>
      </c>
      <c r="B42" s="15">
        <v>16</v>
      </c>
      <c r="C42" s="15">
        <v>5478831</v>
      </c>
      <c r="D42" s="15">
        <v>0.29203299999999999</v>
      </c>
      <c r="E42" s="28">
        <v>170.2</v>
      </c>
      <c r="F42" s="15">
        <v>72350</v>
      </c>
      <c r="G42" s="28">
        <v>13.3</v>
      </c>
      <c r="H42" s="15">
        <v>8</v>
      </c>
      <c r="I42" s="15">
        <v>54.6</v>
      </c>
      <c r="J42" s="28">
        <v>0</v>
      </c>
      <c r="K42" s="15">
        <v>1</v>
      </c>
      <c r="L42" s="15">
        <v>32</v>
      </c>
      <c r="M42" s="15">
        <v>1</v>
      </c>
    </row>
    <row r="43" spans="1:13">
      <c r="A43" s="15" t="s">
        <v>51</v>
      </c>
      <c r="B43" s="15">
        <v>4</v>
      </c>
      <c r="C43" s="15">
        <v>924669</v>
      </c>
      <c r="D43" s="15">
        <v>0.432587</v>
      </c>
      <c r="E43" s="28">
        <v>11.7</v>
      </c>
      <c r="F43" s="15">
        <v>76881</v>
      </c>
      <c r="G43" s="28">
        <v>10.4</v>
      </c>
      <c r="H43" s="15">
        <v>16</v>
      </c>
      <c r="I43" s="15">
        <v>35.6</v>
      </c>
      <c r="J43" s="28">
        <v>3</v>
      </c>
      <c r="K43" s="15">
        <v>1</v>
      </c>
      <c r="L43" s="15">
        <v>1</v>
      </c>
      <c r="M43" s="15">
        <v>2</v>
      </c>
    </row>
    <row r="44" spans="1:13">
      <c r="A44" s="15" t="s">
        <v>52</v>
      </c>
      <c r="B44" s="15">
        <v>18</v>
      </c>
      <c r="C44" s="15">
        <v>7227750</v>
      </c>
      <c r="D44" s="15">
        <v>0.24904000000000001</v>
      </c>
      <c r="E44" s="28">
        <v>167.6</v>
      </c>
      <c r="F44" s="15">
        <v>71997</v>
      </c>
      <c r="G44" s="28">
        <v>13.5</v>
      </c>
      <c r="H44" s="15">
        <v>14</v>
      </c>
      <c r="I44" s="15">
        <v>46.6</v>
      </c>
      <c r="J44" s="28">
        <v>6</v>
      </c>
      <c r="K44" s="15">
        <v>1</v>
      </c>
      <c r="L44" s="15">
        <v>40</v>
      </c>
      <c r="M44" s="15">
        <v>3</v>
      </c>
    </row>
    <row r="45" spans="1:13">
      <c r="A45" s="15" t="s">
        <v>53</v>
      </c>
      <c r="B45" s="15">
        <v>111</v>
      </c>
      <c r="C45" s="15">
        <v>31290831</v>
      </c>
      <c r="D45" s="15">
        <v>0.35473700000000002</v>
      </c>
      <c r="E45" s="28">
        <v>111.6</v>
      </c>
      <c r="F45" s="15">
        <v>79721</v>
      </c>
      <c r="G45" s="28">
        <v>13.4</v>
      </c>
      <c r="H45" s="15">
        <v>5</v>
      </c>
      <c r="I45" s="15">
        <v>67</v>
      </c>
      <c r="J45" s="28">
        <v>6</v>
      </c>
      <c r="K45" s="15">
        <v>1</v>
      </c>
      <c r="L45" s="15">
        <v>0</v>
      </c>
      <c r="M45" s="15">
        <v>3</v>
      </c>
    </row>
    <row r="46" spans="1:13">
      <c r="A46" s="15" t="s">
        <v>54</v>
      </c>
      <c r="B46" s="15">
        <v>34</v>
      </c>
      <c r="C46" s="15">
        <v>3503613</v>
      </c>
      <c r="D46" s="15">
        <v>0.97042700000000004</v>
      </c>
      <c r="E46" s="28">
        <v>39.700000000000003</v>
      </c>
      <c r="F46" s="15">
        <v>96658</v>
      </c>
      <c r="G46" s="28">
        <v>8.3000000000000007</v>
      </c>
      <c r="H46" s="15">
        <v>13</v>
      </c>
      <c r="I46" s="15">
        <v>40.700000000000003</v>
      </c>
      <c r="J46" s="28">
        <v>7</v>
      </c>
      <c r="K46" s="15">
        <v>2</v>
      </c>
      <c r="L46" s="15">
        <v>10</v>
      </c>
      <c r="M46" s="15">
        <v>4</v>
      </c>
    </row>
    <row r="47" spans="1:13">
      <c r="A47" s="15" t="s">
        <v>55</v>
      </c>
      <c r="B47" s="15">
        <v>8</v>
      </c>
      <c r="C47" s="15">
        <v>648493</v>
      </c>
      <c r="D47" s="15">
        <v>1.2336290000000001</v>
      </c>
      <c r="E47" s="28">
        <v>69.8</v>
      </c>
      <c r="F47" s="15">
        <v>82730</v>
      </c>
      <c r="G47" s="28">
        <v>9</v>
      </c>
      <c r="H47" s="15">
        <v>-16</v>
      </c>
      <c r="I47" s="15">
        <v>20.2</v>
      </c>
      <c r="J47" s="28">
        <v>7</v>
      </c>
      <c r="K47" s="15">
        <v>4</v>
      </c>
      <c r="L47" s="15">
        <v>2</v>
      </c>
      <c r="M47" s="15">
        <v>4</v>
      </c>
    </row>
    <row r="48" spans="1:13">
      <c r="A48" s="15" t="s">
        <v>56</v>
      </c>
      <c r="B48" s="15">
        <v>46</v>
      </c>
      <c r="C48" s="15">
        <v>8811195</v>
      </c>
      <c r="D48" s="15">
        <v>0.52206300000000005</v>
      </c>
      <c r="E48" s="28">
        <v>218.6</v>
      </c>
      <c r="F48" s="15">
        <v>92090</v>
      </c>
      <c r="G48" s="28">
        <v>9.6999999999999993</v>
      </c>
      <c r="H48" s="15">
        <v>-3</v>
      </c>
      <c r="I48" s="15">
        <v>60.5</v>
      </c>
      <c r="J48" s="28">
        <v>7</v>
      </c>
      <c r="K48" s="15">
        <v>4</v>
      </c>
      <c r="L48" s="15">
        <v>12</v>
      </c>
      <c r="M48" s="15">
        <v>4</v>
      </c>
    </row>
    <row r="49" spans="1:13">
      <c r="A49" s="15" t="s">
        <v>57</v>
      </c>
      <c r="B49" s="15">
        <v>145</v>
      </c>
      <c r="C49" s="15">
        <v>7958180</v>
      </c>
      <c r="D49" s="15">
        <v>1.822025</v>
      </c>
      <c r="E49" s="28">
        <v>115.9</v>
      </c>
      <c r="F49" s="15">
        <v>99389</v>
      </c>
      <c r="G49" s="28">
        <v>9.9</v>
      </c>
      <c r="H49" s="15">
        <v>-8</v>
      </c>
      <c r="I49" s="15">
        <v>55.9</v>
      </c>
      <c r="J49" s="28">
        <v>7</v>
      </c>
      <c r="K49" s="15">
        <v>4</v>
      </c>
      <c r="L49" s="15">
        <v>6</v>
      </c>
      <c r="M49" s="15">
        <v>4</v>
      </c>
    </row>
    <row r="50" spans="1:13">
      <c r="A50" s="15" t="s">
        <v>58</v>
      </c>
      <c r="B50" s="15">
        <v>12</v>
      </c>
      <c r="C50" s="15">
        <v>1769979</v>
      </c>
      <c r="D50" s="15">
        <v>0.67797399999999997</v>
      </c>
      <c r="E50" s="28">
        <v>74.599999999999994</v>
      </c>
      <c r="F50" s="15">
        <v>60798</v>
      </c>
      <c r="G50" s="28">
        <v>16.7</v>
      </c>
      <c r="H50" s="15">
        <v>22</v>
      </c>
      <c r="I50" s="15">
        <v>20.2</v>
      </c>
      <c r="J50" s="28">
        <v>4</v>
      </c>
      <c r="K50" s="15">
        <v>1</v>
      </c>
      <c r="L50" s="15">
        <v>33</v>
      </c>
      <c r="M50" s="15">
        <v>2</v>
      </c>
    </row>
    <row r="51" spans="1:13">
      <c r="A51" s="15" t="s">
        <v>59</v>
      </c>
      <c r="B51" s="15">
        <v>29</v>
      </c>
      <c r="C51" s="15">
        <v>5960975</v>
      </c>
      <c r="D51" s="15">
        <v>0.48649799999999999</v>
      </c>
      <c r="E51" s="28">
        <v>108.8</v>
      </c>
      <c r="F51" s="15">
        <v>77488</v>
      </c>
      <c r="G51" s="28">
        <v>10.3</v>
      </c>
      <c r="H51" s="15">
        <v>2</v>
      </c>
      <c r="I51" s="15">
        <v>37</v>
      </c>
      <c r="J51" s="28">
        <v>5</v>
      </c>
      <c r="K51" s="15">
        <v>3</v>
      </c>
      <c r="L51" s="15">
        <v>14</v>
      </c>
      <c r="M51" s="15">
        <v>3</v>
      </c>
    </row>
    <row r="52" spans="1:13">
      <c r="A52" s="15" t="s">
        <v>60</v>
      </c>
      <c r="B52" s="15">
        <v>7</v>
      </c>
      <c r="C52" s="15">
        <v>587618</v>
      </c>
      <c r="D52" s="15">
        <v>1.1912499999999999</v>
      </c>
      <c r="E52" s="28">
        <v>5.9</v>
      </c>
      <c r="F52" s="15">
        <v>75532</v>
      </c>
      <c r="G52" s="28">
        <v>10.1</v>
      </c>
      <c r="H52" s="15">
        <v>25</v>
      </c>
      <c r="I52" s="15">
        <v>32.4</v>
      </c>
      <c r="J52" s="28">
        <v>0</v>
      </c>
      <c r="K52" s="15">
        <v>1</v>
      </c>
      <c r="L52" s="15">
        <v>12</v>
      </c>
      <c r="M52" s="15">
        <v>1</v>
      </c>
    </row>
    <row r="53" spans="1:13">
      <c r="A53" s="6"/>
      <c r="B53" s="6"/>
      <c r="C53" s="6"/>
      <c r="D53" s="6"/>
      <c r="E53" s="6"/>
      <c r="F53" s="6"/>
      <c r="G53" s="28"/>
      <c r="H53" s="6"/>
      <c r="I53" s="6"/>
      <c r="J53" s="6"/>
      <c r="K53" s="6"/>
    </row>
    <row r="54" spans="1:13">
      <c r="G54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BB1FD-11D9-C645-97B4-96283AE72A68}">
  <dimension ref="A1:G14"/>
  <sheetViews>
    <sheetView tabSelected="1" topLeftCell="E1" workbookViewId="0">
      <selection activeCell="E11" sqref="E11"/>
    </sheetView>
  </sheetViews>
  <sheetFormatPr defaultColWidth="11" defaultRowHeight="16"/>
  <cols>
    <col min="1" max="1" width="33.83203125" bestFit="1" customWidth="1"/>
    <col min="2" max="2" width="23.08203125" bestFit="1" customWidth="1"/>
    <col min="3" max="3" width="25.08203125" bestFit="1" customWidth="1"/>
    <col min="4" max="4" width="101.58203125" customWidth="1"/>
    <col min="5" max="5" width="101" bestFit="1" customWidth="1"/>
  </cols>
  <sheetData>
    <row r="1" spans="1:7">
      <c r="A1" s="16" t="s">
        <v>66</v>
      </c>
      <c r="B1" s="16" t="s">
        <v>67</v>
      </c>
      <c r="C1" s="16" t="s">
        <v>68</v>
      </c>
      <c r="D1" s="17" t="s">
        <v>69</v>
      </c>
      <c r="E1" s="17" t="s">
        <v>70</v>
      </c>
      <c r="F1" s="18"/>
      <c r="G1" s="18"/>
    </row>
    <row r="2" spans="1:7">
      <c r="A2" s="19" t="s">
        <v>71</v>
      </c>
      <c r="B2" s="24" t="s">
        <v>1</v>
      </c>
      <c r="C2" s="19" t="s">
        <v>72</v>
      </c>
      <c r="D2" s="21" t="s">
        <v>73</v>
      </c>
      <c r="E2" s="33" t="s">
        <v>74</v>
      </c>
      <c r="F2" s="18"/>
      <c r="G2" s="18"/>
    </row>
    <row r="3" spans="1:7">
      <c r="A3" s="19" t="s">
        <v>75</v>
      </c>
      <c r="B3" s="24" t="s">
        <v>2</v>
      </c>
      <c r="C3" s="19" t="s">
        <v>76</v>
      </c>
      <c r="D3" s="21"/>
      <c r="E3" s="33" t="s">
        <v>77</v>
      </c>
      <c r="F3" s="18"/>
      <c r="G3" s="18"/>
    </row>
    <row r="4" spans="1:7">
      <c r="A4" s="18" t="s">
        <v>78</v>
      </c>
      <c r="B4" s="25" t="s">
        <v>61</v>
      </c>
      <c r="C4" s="18" t="s">
        <v>79</v>
      </c>
      <c r="D4" s="21" t="s">
        <v>80</v>
      </c>
      <c r="E4" s="20" t="s">
        <v>81</v>
      </c>
      <c r="F4" s="18"/>
      <c r="G4" s="18"/>
    </row>
    <row r="5" spans="1:7">
      <c r="A5" s="18" t="s">
        <v>82</v>
      </c>
      <c r="B5" s="25" t="s">
        <v>4</v>
      </c>
      <c r="C5" s="18" t="s">
        <v>76</v>
      </c>
      <c r="D5" s="21"/>
      <c r="E5" s="20" t="s">
        <v>83</v>
      </c>
      <c r="F5" s="18"/>
      <c r="G5" s="18"/>
    </row>
    <row r="6" spans="1:7">
      <c r="A6" s="18" t="s">
        <v>84</v>
      </c>
      <c r="B6" s="24" t="s">
        <v>5</v>
      </c>
      <c r="C6" s="18" t="s">
        <v>76</v>
      </c>
      <c r="D6" s="21"/>
      <c r="E6" s="20" t="s">
        <v>85</v>
      </c>
      <c r="F6" s="18"/>
      <c r="G6" s="18"/>
    </row>
    <row r="7" spans="1:7">
      <c r="A7" s="18" t="s">
        <v>86</v>
      </c>
      <c r="B7" s="24" t="s">
        <v>6</v>
      </c>
      <c r="C7" s="18" t="s">
        <v>76</v>
      </c>
      <c r="D7" s="21"/>
      <c r="E7" s="20" t="s">
        <v>87</v>
      </c>
      <c r="F7" s="18"/>
      <c r="G7" s="18"/>
    </row>
    <row r="8" spans="1:7" ht="29.5">
      <c r="A8" s="18" t="s">
        <v>88</v>
      </c>
      <c r="B8" s="24" t="s">
        <v>7</v>
      </c>
      <c r="C8" s="18" t="s">
        <v>89</v>
      </c>
      <c r="D8" s="21" t="s">
        <v>90</v>
      </c>
      <c r="E8" s="20" t="s">
        <v>91</v>
      </c>
      <c r="F8" s="18"/>
      <c r="G8" s="18"/>
    </row>
    <row r="9" spans="1:7">
      <c r="A9" s="18" t="s">
        <v>8</v>
      </c>
      <c r="B9" s="24" t="s">
        <v>8</v>
      </c>
      <c r="C9" s="18" t="s">
        <v>76</v>
      </c>
      <c r="D9" s="21" t="s">
        <v>92</v>
      </c>
      <c r="E9" s="20" t="s">
        <v>93</v>
      </c>
      <c r="F9" s="18"/>
      <c r="G9" s="18"/>
    </row>
    <row r="10" spans="1:7">
      <c r="A10" s="18" t="s">
        <v>9</v>
      </c>
      <c r="B10" s="18" t="s">
        <v>9</v>
      </c>
      <c r="C10" s="18" t="s">
        <v>94</v>
      </c>
      <c r="D10" s="21" t="s">
        <v>95</v>
      </c>
      <c r="E10" s="34" t="s">
        <v>96</v>
      </c>
      <c r="F10" s="18"/>
      <c r="G10" s="18"/>
    </row>
    <row r="11" spans="1:7">
      <c r="A11" s="18" t="s">
        <v>97</v>
      </c>
      <c r="B11" s="32" t="s">
        <v>63</v>
      </c>
      <c r="C11" s="18" t="s">
        <v>98</v>
      </c>
      <c r="D11" s="21" t="s">
        <v>99</v>
      </c>
      <c r="E11" s="20" t="s">
        <v>100</v>
      </c>
      <c r="F11" s="18"/>
      <c r="G11" s="18"/>
    </row>
    <row r="12" spans="1:7">
      <c r="A12" s="18" t="s">
        <v>101</v>
      </c>
      <c r="B12" s="32" t="s">
        <v>64</v>
      </c>
      <c r="C12" s="18" t="s">
        <v>102</v>
      </c>
      <c r="D12" s="21"/>
      <c r="E12" s="20" t="s">
        <v>103</v>
      </c>
      <c r="F12" s="18"/>
      <c r="G12" s="18"/>
    </row>
    <row r="13" spans="1:7" ht="44">
      <c r="A13" s="18" t="s">
        <v>104</v>
      </c>
      <c r="B13" s="32" t="s">
        <v>65</v>
      </c>
      <c r="C13" s="18" t="s">
        <v>105</v>
      </c>
      <c r="D13" s="21" t="s">
        <v>106</v>
      </c>
      <c r="E13" s="20" t="s">
        <v>107</v>
      </c>
      <c r="F13" s="18"/>
      <c r="G13" s="18"/>
    </row>
    <row r="14" spans="1:7">
      <c r="A14" s="18"/>
      <c r="B14" s="24"/>
      <c r="C14" s="18"/>
      <c r="D14" s="18"/>
      <c r="E14" s="18"/>
      <c r="F14" s="18"/>
      <c r="G14" s="18"/>
    </row>
  </sheetData>
  <hyperlinks>
    <hyperlink ref="E5" r:id="rId1" xr:uid="{D2A69AE9-8571-4A49-BD07-37A7429D3E26}"/>
    <hyperlink ref="E6" r:id="rId2" xr:uid="{BD000A46-F88E-024B-A563-96DDA6129718}"/>
    <hyperlink ref="E7" r:id="rId3" xr:uid="{34CAA020-C190-40B3-9760-FC3782269FCF}"/>
    <hyperlink ref="E4" r:id="rId4" xr:uid="{B2A19A75-7A1F-6041-8970-36B1D72F0234}"/>
    <hyperlink ref="E9" r:id="rId5" xr:uid="{48616D86-2E2A-0D42-9CE2-8320C7507CED}"/>
    <hyperlink ref="E8" r:id="rId6" xr:uid="{507A6C9A-8F07-474D-8C04-D2801B27075E}"/>
    <hyperlink ref="E11" r:id="rId7" xr:uid="{8D4F916E-9D3E-41A8-86AD-1436E54DCBB5}"/>
    <hyperlink ref="E13" r:id="rId8" location="data-collection" xr:uid="{E4368767-4200-4A28-979D-82C9F726A3DF}"/>
    <hyperlink ref="E12" r:id="rId9" xr:uid="{32A8A353-311F-42F7-A1B3-17EB8EE55AE3}"/>
    <hyperlink ref="E3" r:id="rId10" xr:uid="{D1E76432-6744-4C8F-9ADF-0CCFC63F701B}"/>
    <hyperlink ref="E2" r:id="rId11" xr:uid="{F1621F9B-F408-4EBD-BC94-B5B81158CB79}"/>
    <hyperlink ref="E10" r:id="rId12" xr:uid="{E735CC0A-1F94-4054-A79F-548A6D9398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Crimes</vt:lpstr>
      <vt:lpstr>Antisemitic</vt:lpstr>
      <vt:lpstr>Anti-LGBTQ+</vt:lpstr>
      <vt:lpstr>Sources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Diamond, Emily</dc:creator>
  <cp:keywords/>
  <dc:description/>
  <cp:lastModifiedBy>Moore, Marin</cp:lastModifiedBy>
  <cp:revision/>
  <dcterms:created xsi:type="dcterms:W3CDTF">2026-04-28T19:49:07Z</dcterms:created>
  <dcterms:modified xsi:type="dcterms:W3CDTF">2026-05-09T20:56:13Z</dcterms:modified>
  <cp:category/>
  <cp:contentStatus/>
</cp:coreProperties>
</file>